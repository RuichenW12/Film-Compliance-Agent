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5cc426068644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7927a7aee3a34293"/>
    <x:sheet xmlns:r="http://schemas.openxmlformats.org/officeDocument/2006/relationships" name="规则确认_p1-p3" sheetId="2" r:id="R4bdae33bd822491e"/>
    <x:sheet xmlns:r="http://schemas.openxmlformats.org/officeDocument/2006/relationships" name="流程材料_p4-p5" sheetId="3" r:id="Ra373c64cea164c8d"/>
    <x:sheet xmlns:r="http://schemas.openxmlformats.org/officeDocument/2006/relationships" name="条款来源_p6" sheetId="4" r:id="R1a4ef2da514341ec"/>
    <x:sheet xmlns:r="http://schemas.openxmlformats.org/officeDocument/2006/relationships" name="复核汇总" sheetId="5" r:id="R73c12ac61d7c4a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¥#,##0"/>
    <x:numFmt numFmtId="202" formatCode="0.0%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0"/>
      <x:color rgb="FF9C0006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CE4D6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6">
    <x:border/>
    <x:border>
      <x:left style="thin">
        <x:color rgb="FFB4C7DC"/>
      </x:left>
      <x:right style="thin">
        <x:color rgb="FFB4C7DC"/>
      </x:right>
      <x:top style="thin">
        <x:color rgb="FFB4C7DC"/>
      </x:top>
      <x:bottom style="thin">
        <x:color rgb="FFB4C7DC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B4C7DC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5" borderId="3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201" fontId="5" fillId="0" borderId="3" xfId="0" applyNumberFormat="1" applyFont="1" applyFill="1" applyBorder="1" applyAlignment="1">
      <x:alignment vertical="top" wrapText="1"/>
    </x:xf>
    <x:xf numFmtId="201" fontId="5" fillId="0" borderId="4" xfId="0" applyNumberFormat="1" applyFont="1" applyFill="1" applyBorder="1" applyAlignment="1">
      <x:alignment vertical="top" wrapText="1"/>
    </x:xf>
    <x:xf numFmtId="201" fontId="5" fillId="0" borderId="5" xfId="0" applyNumberFormat="1" applyFont="1" applyFill="1" applyBorder="1" applyAlignment="1">
      <x:alignment vertical="top" wrapText="1"/>
    </x:xf>
    <x:xf numFmtId="200" fontId="5" fillId="5" borderId="3" xfId="0" applyNumberFormat="1" applyFont="1" applyFill="1" applyBorder="1" applyAlignment="1">
      <x:alignment vertical="top" wrapText="1"/>
    </x:xf>
    <x:xf numFmtId="200" fontId="5" fillId="5" borderId="4" xfId="0" applyNumberFormat="1" applyFont="1" applyFill="1" applyBorder="1" applyAlignment="1">
      <x:alignment vertical="top" wrapText="1"/>
    </x:xf>
    <x:xf numFmtId="200" fontId="5" fillId="5" borderId="5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</x:cellXfs>
  <x:cellStyles count="1">
    <x:cellStyle name="Normal" xfId="0"/>
  </x:cellStyles>
  <x:dxfs count="1">
    <x:dxf>
      <x:font>
        <x:b/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46b76c8686477f" /><Relationship Type="http://schemas.openxmlformats.org/officeDocument/2006/relationships/theme" Target="/xl/theme/theme1.xml" Id="Rc4a6362aeaed42c5" /><Relationship Type="http://schemas.openxmlformats.org/officeDocument/2006/relationships/sharedStrings" Target="/xl/sharedStrings.xml" Id="R22987e2961b94fee" /><Relationship Type="http://schemas.openxmlformats.org/officeDocument/2006/relationships/worksheet" Target="/xl/worksheets/sheet1.xml" Id="R7927a7aee3a34293" /><Relationship Type="http://schemas.openxmlformats.org/officeDocument/2006/relationships/worksheet" Target="/xl/worksheets/sheet2.xml" Id="R4bdae33bd822491e" /><Relationship Type="http://schemas.openxmlformats.org/officeDocument/2006/relationships/worksheet" Target="/xl/worksheets/sheet3.xml" Id="Ra373c64cea164c8d" /><Relationship Type="http://schemas.openxmlformats.org/officeDocument/2006/relationships/worksheet" Target="/xl/worksheets/sheet4.xml" Id="R1a4ef2da514341ec" /><Relationship Type="http://schemas.openxmlformats.org/officeDocument/2006/relationships/worksheet" Target="/xl/worksheets/sheet5.xml" Id="R73c12ac61d7c4a61" /></Relationships>
</file>

<file path=xl/tables/table1.xml><?xml version="1.0" encoding="utf-8"?>
<x:table xmlns:x="http://schemas.openxmlformats.org/spreadsheetml/2006/main" id="1" name="RulesReviewTable" displayName="RulesReviewTable" ref="A4:P16" headerRowCount="1" totalsRowCount="0" totalsRowShown="0">
  <x:autoFilter ref="A4:P16"/>
  <x:tableColumns count="16">
    <x:tableColumn id="1" name="优先级"/>
    <x:tableColumn id="2" name="Pack"/>
    <x:tableColumn id="3" name="条目ID"/>
    <x:tableColumn id="4" name="复核主题"/>
    <x:tableColumn id="5" name="当前候选值"/>
    <x:tableColumn id="6" name="T1门槛（元）"/>
    <x:tableColumn id="7" name="T2门槛（元）"/>
    <x:tableColumn id="8" name="确认状态"/>
    <x:tableColumn id="9" name="建议修改值"/>
    <x:tableColumn id="10" name="适用地区"/>
    <x:tableColumn id="11" name="项目类型"/>
    <x:tableColumn id="12" name="effective_from"/>
    <x:tableColumn id="13" name="依据类型"/>
    <x:tableColumn id="14" name="来源链接或附件名"/>
    <x:tableColumn id="15" name="复核人"/>
    <x:tableColumn id="16" name="备注与边界案例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lowMaterialsReviewTable" displayName="FlowMaterialsReviewTable" ref="A4:R30" headerRowCount="1" totalsRowCount="0" totalsRowShown="0">
  <x:autoFilter ref="A4:R30"/>
  <x:tableColumns count="18">
    <x:tableColumn id="1" name="优先级"/>
    <x:tableColumn id="2" name="Pack"/>
    <x:tableColumn id="3" name="条目ID"/>
    <x:tableColumn id="4" name="条目类型"/>
    <x:tableColumn id="5" name="当前候选值"/>
    <x:tableColumn id="6" name="步骤序号"/>
    <x:tableColumn id="7" name="责任人"/>
    <x:tableColumn id="8" name="是否必需"/>
    <x:tableColumn id="9" name="asset_kind"/>
    <x:tableColumn id="10" name="确认状态"/>
    <x:tableColumn id="11" name="建议修改值"/>
    <x:tableColumn id="12" name="适用地区"/>
    <x:tableColumn id="13" name="项目类型"/>
    <x:tableColumn id="14" name="effective_from"/>
    <x:tableColumn id="15" name="依据类型"/>
    <x:tableColumn id="16" name="来源链接或附件名"/>
    <x:tableColumn id="17" name="复核人"/>
    <x:tableColumn id="18" name="备注与边界案例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lauseReviewTable" displayName="ClauseReviewTable" ref="A4:N8" headerRowCount="1" totalsRowCount="0" totalsRowShown="0">
  <x:autoFilter ref="A4:N8"/>
  <x:tableColumns count="14">
    <x:tableColumn id="1" name="优先级"/>
    <x:tableColumn id="2" name="Pack"/>
    <x:tableColumn id="3" name="条款ID"/>
    <x:tableColumn id="4" name="标题"/>
    <x:tableColumn id="5" name="当前候选原文"/>
    <x:tableColumn id="6" name="effective_from"/>
    <x:tableColumn id="7" name="确认状态"/>
    <x:tableColumn id="8" name="建议修改值"/>
    <x:tableColumn id="9" name="适用地区"/>
    <x:tableColumn id="10" name="项目类型"/>
    <x:tableColumn id="11" name="依据类型"/>
    <x:tableColumn id="12" name="来源URL或附件名"/>
    <x:tableColumn id="13" name="复核人"/>
    <x:tableColumn id="14" name="备注与规则映射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7d8eb77181643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dae6450f58442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2ff76002e8548c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22" hidden="0" customWidth="1"/>
    <x:col min="4" max="4" width="18" hidden="0" customWidth="1"/>
    <x:col min="5" max="5" width="16" hidden="0" customWidth="1"/>
    <x:col min="6" max="6" width="22" hidden="0" customWidth="1"/>
    <x:col min="7" max="7" width="34" hidden="0" customWidth="1"/>
    <x:col min="8" max="8" width="34" hidden="0" customWidth="1"/>
  </x:cols>
  <x:sheetData>
    <x:row r="1" ht="30" customHeight="1">
      <x:c r="A1" s="3" t="str">
        <x:v>影视伙伴政策数据确认表</x:v>
      </x:c>
      <x:c r="B1" s="3" t="str">
        <x:v>影视伙伴政策数据确认表</x:v>
      </x:c>
      <x:c r="C1" s="3" t="str">
        <x:v>影视伙伴政策数据确认表</x:v>
      </x:c>
      <x:c r="D1" s="3" t="str">
        <x:v>影视伙伴政策数据确认表</x:v>
      </x:c>
      <x:c r="E1" s="3" t="str">
        <x:v>影视伙伴政策数据确认表</x:v>
      </x:c>
      <x:c r="F1" s="3" t="str">
        <x:v>影视伙伴政策数据确认表</x:v>
      </x:c>
      <x:c r="G1" s="3" t="str">
        <x:v>影视伙伴政策数据确认表</x:v>
      </x:c>
      <x:c r="H1" s="3" t="str">
        <x:v>影视伙伴政策数据确认表</x:v>
      </x:c>
    </x:row>
    <x:row r="2" ht="28" customHeight="1">
      <x:c r="A2" s="7" t="str">
        <x:v>联调候选数据，未经完整人工复核，不构成法律意见。</x:v>
      </x:c>
      <x:c r="B2" s="7" t="str">
        <x:v>联调候选数据，未经完整人工复核，不构成法律意见。</x:v>
      </x:c>
      <x:c r="C2" s="7" t="str">
        <x:v>联调候选数据，未经完整人工复核，不构成法律意见。</x:v>
      </x:c>
      <x:c r="D2" s="7" t="str">
        <x:v>联调候选数据，未经完整人工复核，不构成法律意见。</x:v>
      </x:c>
      <x:c r="E2" s="7" t="str">
        <x:v>联调候选数据，未经完整人工复核，不构成法律意见。</x:v>
      </x:c>
      <x:c r="F2" s="7" t="str">
        <x:v>联调候选数据，未经完整人工复核，不构成法律意见。</x:v>
      </x:c>
      <x:c r="G2" s="7" t="str">
        <x:v>联调候选数据，未经完整人工复核，不构成法律意见。</x:v>
      </x:c>
      <x:c r="H2" s="7" t="str">
        <x:v>联调候选数据，未经完整人工复核，不构成法律意见。</x:v>
      </x:c>
    </x:row>
    <x:row r="4">
      <x:c r="A4" s="10" t="str">
        <x:v>项目</x:v>
      </x:c>
      <x:c r="B4" s="10" t="str">
        <x:v>说明</x:v>
      </x:c>
      <x:c r="C4" s="10" t="str">
        <x:v>项目</x:v>
      </x:c>
      <x:c r="D4" s="10" t="str">
        <x:v>说明</x:v>
      </x:c>
      <x:c r="E4" s="10" t="str">
        <x:v>项目</x:v>
      </x:c>
      <x:c r="F4" s="10" t="str">
        <x:v>说明</x:v>
      </x:c>
      <x:c r="G4" s="10" t="str">
        <x:v>项目</x:v>
      </x:c>
      <x:c r="H4" s="10" t="str">
        <x:v>说明</x:v>
      </x:c>
    </x:row>
    <x:row r="5" ht="42" customHeight="1">
      <x:c r="A5" s="13" t="str">
        <x:v>当前状态</x:v>
      </x:c>
      <x:c r="B5" s="13" t="str">
        <x:v>mock_verified</x:v>
      </x:c>
      <x:c r="C5" s="13" t="str">
        <x:v>填写顺序</x:v>
      </x:c>
      <x:c r="D5" s="13" t="str">
        <x:v>先P0，再P1，最后P2</x:v>
      </x:c>
      <x:c r="E5" s="13" t="str">
        <x:v>待确认</x:v>
      </x:c>
      <x:c r="F5" s="13" t="str">
        <x:v>尚未完成人工判断</x:v>
      </x:c>
      <x:c r="G5" s="13" t="str">
        <x:v>已确认</x:v>
      </x:c>
      <x:c r="H5" s="13" t="str">
        <x:v>候选值准确且证据充分</x:v>
      </x:c>
    </x:row>
    <x:row r="6" ht="42" customHeight="1">
      <x:c r="A6" s="13" t="str">
        <x:v>P0</x:v>
      </x:c>
      <x:c r="B6" s="13" t="str">
        <x:v>流程、字段、材料</x:v>
      </x:c>
      <x:c r="C6" s="13" t="str">
        <x:v>P1</x:v>
      </x:c>
      <x:c r="D6" s="13" t="str">
        <x:v>特殊题材、金额门槛</x:v>
      </x:c>
      <x:c r="E6" s="13" t="str">
        <x:v>需修改</x:v>
      </x:c>
      <x:c r="F6" s="13" t="str">
        <x:v>候选值不准确，请给出修改值</x:v>
      </x:c>
      <x:c r="G6" s="13" t="str">
        <x:v>无法确认</x:v>
      </x:c>
      <x:c r="H6" s="13" t="str">
        <x:v>当前复核人或材料不足</x:v>
      </x:c>
    </x:row>
    <x:row r="7" ht="42" customHeight="1">
      <x:c r="A7" s="13" t="str">
        <x:v>证据要求</x:v>
      </x:c>
      <x:c r="B7" s="13" t="str">
        <x:v>填写链接或附件名</x:v>
      </x:c>
      <x:c r="C7" s="13" t="str">
        <x:v>时间要求</x:v>
      </x:c>
      <x:c r="D7" s="13" t="str">
        <x:v>填写effective_from</x:v>
      </x:c>
      <x:c r="E7" s="13" t="str">
        <x:v>边界案例</x:v>
      </x:c>
      <x:c r="F7" s="13" t="str">
        <x:v>写入备注列</x:v>
      </x:c>
      <x:c r="G7" s="13" t="str">
        <x:v>复核人</x:v>
      </x:c>
      <x:c r="H7" s="13" t="str">
        <x:v>填写真实姓名或团队角色</x:v>
      </x:c>
    </x:row>
    <x:row r="8" ht="42" customHeight="1">
      <x:c r="A8" s="13" t="str">
        <x:v>交付方式</x:v>
      </x:c>
      <x:c r="B8" s="13" t="str">
        <x:v>回传此Excel及相关附件</x:v>
      </x:c>
      <x:c r="C8" s="13" t="str">
        <x:v>升级条件</x:v>
      </x:c>
      <x:c r="D8" s="13" t="str">
        <x:v>完整复核+证据+技术验证</x:v>
      </x:c>
      <x:c r="E8" s="13" t="str">
        <x:v>法律边界</x:v>
      </x:c>
      <x:c r="F8" s="13" t="str">
        <x:v>不构成法律意见</x:v>
      </x:c>
      <x:c r="G8" s="13" t="str">
        <x:v>禁止</x:v>
      </x:c>
      <x:c r="H8" s="13" t="str">
        <x:v>不要预先标记已确认</x:v>
      </x:c>
    </x:row>
    <x:row r="10">
      <x:c r="A10" s="14" t="str">
        <x:v>填写示例</x:v>
      </x:c>
      <x:c r="B10" s="14" t="str">
        <x:v>填写示例</x:v>
      </x:c>
      <x:c r="C10" s="14" t="str">
        <x:v>填写示例</x:v>
      </x:c>
      <x:c r="D10" s="14" t="str">
        <x:v>填写示例</x:v>
      </x:c>
      <x:c r="E10" s="14" t="str">
        <x:v>填写示例</x:v>
      </x:c>
      <x:c r="F10" s="14" t="str">
        <x:v>填写示例</x:v>
      </x:c>
      <x:c r="G10" s="14" t="str">
        <x:v>填写示例</x:v>
      </x:c>
      <x:c r="H10" s="14" t="str">
        <x:v>填写示例</x:v>
      </x:c>
    </x:row>
    <x:row r="11">
      <x:c r="A11" s="9" t="str">
        <x:v>条目ID</x:v>
      </x:c>
      <x:c r="B11" s="9" t="str">
        <x:v>确认状态</x:v>
      </x:c>
      <x:c r="C11" s="9" t="str">
        <x:v>建议修改值</x:v>
      </x:c>
      <x:c r="D11" s="9" t="str">
        <x:v>适用地区</x:v>
      </x:c>
      <x:c r="E11" s="9" t="str">
        <x:v>effective_from</x:v>
      </x:c>
      <x:c r="F11" s="9" t="str">
        <x:v>依据类型</x:v>
      </x:c>
      <x:c r="G11" s="9" t="str">
        <x:v>来源</x:v>
      </x:c>
      <x:c r="H11" s="9" t="str">
        <x:v>备注</x:v>
      </x:c>
    </x:row>
    <x:row r="12" ht="38" customHeight="1">
      <x:c r="A12" s="17" t="str">
        <x:v>示例条目</x:v>
      </x:c>
      <x:c r="B12" s="17" t="str">
        <x:v>需修改</x:v>
      </x:c>
      <x:c r="C12" s="17" t="str">
        <x:v>填写准确口径</x:v>
      </x:c>
      <x:c r="D12" s="17" t="str">
        <x:v>填写实际地区</x:v>
      </x:c>
      <x:c r="E12" s="18" t="n">
        <x:v>46260</x:v>
      </x:c>
      <x:c r="F12" s="17" t="str">
        <x:v>政府文件</x:v>
      </x:c>
      <x:c r="G12" s="17" t="str">
        <x:v>https://example.gov.cn/</x:v>
      </x:c>
      <x:c r="H12" s="17" t="str">
        <x:v>说明边界案例</x:v>
      </x:c>
    </x:row>
  </x:sheetData>
  <x:mergeCells>
    <x:mergeCell ref="A1:H1"/>
    <x:mergeCell ref="A2:H2"/>
    <x:mergeCell ref="A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2" hidden="0" customWidth="1"/>
    <x:col min="3" max="3" width="19" hidden="0" customWidth="1"/>
    <x:col min="4" max="4" width="20" hidden="0" customWidth="1"/>
    <x:col min="5" max="5" width="48" hidden="0" customWidth="1"/>
    <x:col min="6" max="6" width="15" hidden="0" customWidth="1"/>
    <x:col min="7" max="7" width="15" hidden="0" customWidth="1"/>
    <x:col min="8" max="8" width="12" hidden="0" customWidth="1"/>
    <x:col min="9" max="9" width="30" hidden="0" customWidth="1"/>
    <x:col min="10" max="10" width="16" hidden="0" customWidth="1"/>
    <x:col min="11" max="11" width="18" hidden="0" customWidth="1"/>
    <x:col min="12" max="12" width="16" hidden="0" customWidth="1"/>
    <x:col min="13" max="13" width="28" hidden="0" customWidth="1"/>
    <x:col min="14" max="14" width="48" hidden="0" customWidth="1"/>
    <x:col min="15" max="15" width="16" hidden="0" customWidth="1"/>
    <x:col min="16" max="16" width="48" hidden="0" customWidth="1"/>
  </x:cols>
  <x:sheetData>
    <x:row r="1" ht="30" customHeight="1">
      <x:c r="A1" s="3" t="str">
        <x:v>影视伙伴政策数据确认表</x:v>
      </x:c>
      <x:c r="B1" s="3" t="str">
        <x:v>影视伙伴政策数据确认表</x:v>
      </x:c>
      <x:c r="C1" s="3" t="str">
        <x:v>影视伙伴政策数据确认表</x:v>
      </x:c>
      <x:c r="D1" s="3" t="str">
        <x:v>影视伙伴政策数据确认表</x:v>
      </x:c>
      <x:c r="E1" s="3" t="str">
        <x:v>影视伙伴政策数据确认表</x:v>
      </x:c>
      <x:c r="F1" s="3" t="str">
        <x:v>影视伙伴政策数据确认表</x:v>
      </x:c>
      <x:c r="G1" s="3" t="str">
        <x:v>影视伙伴政策数据确认表</x:v>
      </x:c>
      <x:c r="H1" s="3" t="str">
        <x:v>影视伙伴政策数据确认表</x:v>
      </x:c>
      <x:c r="I1" s="3" t="str">
        <x:v>影视伙伴政策数据确认表</x:v>
      </x:c>
      <x:c r="J1" s="3" t="str">
        <x:v>影视伙伴政策数据确认表</x:v>
      </x:c>
      <x:c r="K1" s="3" t="str">
        <x:v>影视伙伴政策数据确认表</x:v>
      </x:c>
      <x:c r="L1" s="3" t="str">
        <x:v>影视伙伴政策数据确认表</x:v>
      </x:c>
      <x:c r="M1" s="3" t="str">
        <x:v>影视伙伴政策数据确认表</x:v>
      </x:c>
      <x:c r="N1" s="3" t="str">
        <x:v>影视伙伴政策数据确认表</x:v>
      </x:c>
      <x:c r="O1" s="3" t="str">
        <x:v>影视伙伴政策数据确认表</x:v>
      </x:c>
      <x:c r="P1" s="3" t="str">
        <x:v>影视伙伴政策数据确认表</x:v>
      </x:c>
    </x:row>
    <x:row r="2" ht="28" customHeight="1">
      <x:c r="A2" s="7" t="str">
        <x:v>联调候选数据，未经完整人工复核，不构成法律意见。</x:v>
      </x:c>
      <x:c r="B2" s="7" t="str">
        <x:v>联调候选数据，未经完整人工复核，不构成法律意见。</x:v>
      </x:c>
      <x:c r="C2" s="7" t="str">
        <x:v>联调候选数据，未经完整人工复核，不构成法律意见。</x:v>
      </x:c>
      <x:c r="D2" s="7" t="str">
        <x:v>联调候选数据，未经完整人工复核，不构成法律意见。</x:v>
      </x:c>
      <x:c r="E2" s="7" t="str">
        <x:v>联调候选数据，未经完整人工复核，不构成法律意见。</x:v>
      </x:c>
      <x:c r="F2" s="7" t="str">
        <x:v>联调候选数据，未经完整人工复核，不构成法律意见。</x:v>
      </x:c>
      <x:c r="G2" s="7" t="str">
        <x:v>联调候选数据，未经完整人工复核，不构成法律意见。</x:v>
      </x:c>
      <x:c r="H2" s="7" t="str">
        <x:v>联调候选数据，未经完整人工复核，不构成法律意见。</x:v>
      </x:c>
      <x:c r="I2" s="7" t="str">
        <x:v>联调候选数据，未经完整人工复核，不构成法律意见。</x:v>
      </x:c>
      <x:c r="J2" s="7" t="str">
        <x:v>联调候选数据，未经完整人工复核，不构成法律意见。</x:v>
      </x:c>
      <x:c r="K2" s="7" t="str">
        <x:v>联调候选数据，未经完整人工复核，不构成法律意见。</x:v>
      </x:c>
      <x:c r="L2" s="7" t="str">
        <x:v>联调候选数据，未经完整人工复核，不构成法律意见。</x:v>
      </x:c>
      <x:c r="M2" s="7" t="str">
        <x:v>联调候选数据，未经完整人工复核，不构成法律意见。</x:v>
      </x:c>
      <x:c r="N2" s="7" t="str">
        <x:v>联调候选数据，未经完整人工复核，不构成法律意见。</x:v>
      </x:c>
      <x:c r="O2" s="7" t="str">
        <x:v>联调候选数据，未经完整人工复核，不构成法律意见。</x:v>
      </x:c>
      <x:c r="P2" s="7" t="str">
        <x:v>联调候选数据，未经完整人工复核，不构成法律意见。</x:v>
      </x:c>
    </x:row>
    <x:row r="4" ht="32" customHeight="1">
      <x:c r="A4" s="22" t="str">
        <x:v>优先级</x:v>
      </x:c>
      <x:c r="B4" s="22" t="str">
        <x:v>Pack</x:v>
      </x:c>
      <x:c r="C4" s="22" t="str">
        <x:v>条目ID</x:v>
      </x:c>
      <x:c r="D4" s="22" t="str">
        <x:v>复核主题</x:v>
      </x:c>
      <x:c r="E4" s="22" t="str">
        <x:v>当前候选值</x:v>
      </x:c>
      <x:c r="F4" s="22" t="str">
        <x:v>T1门槛（元）</x:v>
      </x:c>
      <x:c r="G4" s="22" t="str">
        <x:v>T2门槛（元）</x:v>
      </x:c>
      <x:c r="H4" s="22" t="str">
        <x:v>确认状态</x:v>
      </x:c>
      <x:c r="I4" s="22" t="str">
        <x:v>建议修改值</x:v>
      </x:c>
      <x:c r="J4" s="22" t="str">
        <x:v>适用地区</x:v>
      </x:c>
      <x:c r="K4" s="22" t="str">
        <x:v>项目类型</x:v>
      </x:c>
      <x:c r="L4" s="22" t="str">
        <x:v>effective_from</x:v>
      </x:c>
      <x:c r="M4" s="22" t="str">
        <x:v>依据类型</x:v>
      </x:c>
      <x:c r="N4" s="22" t="str">
        <x:v>来源链接或附件名</x:v>
      </x:c>
      <x:c r="O4" s="22" t="str">
        <x:v>复核人</x:v>
      </x:c>
      <x:c r="P4" s="22" t="str">
        <x:v>备注与边界案例</x:v>
      </x:c>
    </x:row>
    <x:row r="5" ht="44" customHeight="1">
      <x:c r="A5" s="30" t="str">
        <x:v>P2</x:v>
      </x:c>
      <x:c r="B5" s="30" t="str">
        <x:v>p1_form_definition</x:v>
      </x:c>
      <x:c r="C5" s="30" t="str">
        <x:v>p1-definition</x:v>
      </x:c>
      <x:c r="D5" s="30" t="str">
        <x:v>微短剧定义</x:v>
      </x:c>
      <x:c r="E5" s="30" t="str">
        <x:v>单集时长严格少于20分钟；主题主线明确、故事情节连续完整、人物角色突出</x:v>
      </x:c>
      <x:c r="F5" s="36"/>
      <x:c r="G5" s="36"/>
      <x:c r="H5" s="33" t="str">
        <x:v>待确认</x:v>
      </x:c>
      <x:c r="I5" s="33" t="str"/>
      <x:c r="J5" s="33" t="str">
        <x:v>中国境内</x:v>
      </x:c>
      <x:c r="K5" s="33" t="str">
        <x:v>微短剧</x:v>
      </x:c>
      <x:c r="L5" s="39" t="n">
        <x:v>46260</x:v>
      </x:c>
      <x:c r="M5" s="30" t="str">
        <x:v>政府文件候选</x:v>
      </x:c>
      <x:c r="N5" s="30" t="str">
        <x:v>https://www.nrta.gov.cn/art/2026/7/31/art_113_73785.html</x:v>
      </x:c>
      <x:c r="O5" s="33" t="str"/>
      <x:c r="P5" s="33" t="str">
        <x:v>请确认原文、适用范围、管辖范围及生效时间</x:v>
      </x:c>
    </x:row>
    <x:row r="6" ht="44" customHeight="1">
      <x:c r="A6" s="31" t="str">
        <x:v>P1</x:v>
      </x:c>
      <x:c r="B6" s="31" t="str">
        <x:v>p2_subject_rules</x:v>
      </x:c>
      <x:c r="C6" s="31" t="str">
        <x:v>SR-001</x:v>
      </x:c>
      <x:c r="D6" s="31" t="str">
        <x:v>特殊题材：政治（political）</x:v>
      </x:c>
      <x:c r="E6" s="31" t="str">
        <x:v>字面触发“政治”；当前联调结果为T1并需协审；expert_pending=true</x:v>
      </x:c>
      <x:c r="F6" s="37"/>
      <x:c r="G6" s="37"/>
      <x:c r="H6" s="34" t="str">
        <x:v>待确认</x:v>
      </x:c>
      <x:c r="I6" s="34" t="str"/>
      <x:c r="J6" s="34" t="str">
        <x:v>中国境内</x:v>
      </x:c>
      <x:c r="K6" s="34" t="str">
        <x:v>微短剧</x:v>
      </x:c>
      <x:c r="L6" s="40" t="n">
        <x:v>46260</x:v>
      </x:c>
      <x:c r="M6" s="31" t="str">
        <x:v>影视伙伴严格口径 + 政府文件候选</x:v>
      </x:c>
      <x:c r="N6" s="31" t="str">
        <x:v>https://www.nrta.gov.cn/art/2026/7/31/art_113_73785.html</x:v>
      </x:c>
      <x:c r="O6" s="34" t="str"/>
      <x:c r="P6" s="34" t="str">
        <x:v>请补充真实触发口径、边界案例及是否必然协审</x:v>
      </x:c>
    </x:row>
    <x:row r="7" ht="44" customHeight="1">
      <x:c r="A7" s="31" t="str">
        <x:v>P1</x:v>
      </x:c>
      <x:c r="B7" s="31" t="str">
        <x:v>p2_subject_rules</x:v>
      </x:c>
      <x:c r="C7" s="31" t="str">
        <x:v>SR-002</x:v>
      </x:c>
      <x:c r="D7" s="31" t="str">
        <x:v>特殊题材：军事（military）</x:v>
      </x:c>
      <x:c r="E7" s="31" t="str">
        <x:v>字面触发“军事”；当前联调结果为T1并需协审；expert_pending=true</x:v>
      </x:c>
      <x:c r="F7" s="37"/>
      <x:c r="G7" s="37"/>
      <x:c r="H7" s="34" t="str">
        <x:v>待确认</x:v>
      </x:c>
      <x:c r="I7" s="34" t="str"/>
      <x:c r="J7" s="34" t="str">
        <x:v>中国境内</x:v>
      </x:c>
      <x:c r="K7" s="34" t="str">
        <x:v>微短剧</x:v>
      </x:c>
      <x:c r="L7" s="40" t="n">
        <x:v>46260</x:v>
      </x:c>
      <x:c r="M7" s="31" t="str">
        <x:v>影视伙伴严格口径 + 政府文件候选</x:v>
      </x:c>
      <x:c r="N7" s="31" t="str">
        <x:v>https://www.nrta.gov.cn/art/2026/7/31/art_113_73785.html</x:v>
      </x:c>
      <x:c r="O7" s="34" t="str"/>
      <x:c r="P7" s="34" t="str">
        <x:v>请补充真实触发口径、边界案例及是否必然协审</x:v>
      </x:c>
    </x:row>
    <x:row r="8" ht="44" customHeight="1">
      <x:c r="A8" s="31" t="str">
        <x:v>P1</x:v>
      </x:c>
      <x:c r="B8" s="31" t="str">
        <x:v>p2_subject_rules</x:v>
      </x:c>
      <x:c r="C8" s="31" t="str">
        <x:v>SR-003</x:v>
      </x:c>
      <x:c r="D8" s="31" t="str">
        <x:v>特殊题材：外交（diplomatic）</x:v>
      </x:c>
      <x:c r="E8" s="31" t="str">
        <x:v>字面触发“外交”；当前联调结果为T1并需协审；expert_pending=true</x:v>
      </x:c>
      <x:c r="F8" s="37"/>
      <x:c r="G8" s="37"/>
      <x:c r="H8" s="34" t="str">
        <x:v>待确认</x:v>
      </x:c>
      <x:c r="I8" s="34" t="str"/>
      <x:c r="J8" s="34" t="str">
        <x:v>中国境内</x:v>
      </x:c>
      <x:c r="K8" s="34" t="str">
        <x:v>微短剧</x:v>
      </x:c>
      <x:c r="L8" s="40" t="n">
        <x:v>46260</x:v>
      </x:c>
      <x:c r="M8" s="31" t="str">
        <x:v>影视伙伴严格口径 + 政府文件候选</x:v>
      </x:c>
      <x:c r="N8" s="31" t="str">
        <x:v>https://www.nrta.gov.cn/art/2026/7/31/art_113_73785.html</x:v>
      </x:c>
      <x:c r="O8" s="34" t="str"/>
      <x:c r="P8" s="34" t="str">
        <x:v>请补充真实触发口径、边界案例及是否必然协审</x:v>
      </x:c>
    </x:row>
    <x:row r="9" ht="44" customHeight="1">
      <x:c r="A9" s="31" t="str">
        <x:v>P1</x:v>
      </x:c>
      <x:c r="B9" s="31" t="str">
        <x:v>p2_subject_rules</x:v>
      </x:c>
      <x:c r="C9" s="31" t="str">
        <x:v>SR-004</x:v>
      </x:c>
      <x:c r="D9" s="31" t="str">
        <x:v>特殊题材：国家安全（national_security）</x:v>
      </x:c>
      <x:c r="E9" s="31" t="str">
        <x:v>字面触发“国家安全”；当前联调结果为T1并需协审；expert_pending=true</x:v>
      </x:c>
      <x:c r="F9" s="37"/>
      <x:c r="G9" s="37"/>
      <x:c r="H9" s="34" t="str">
        <x:v>待确认</x:v>
      </x:c>
      <x:c r="I9" s="34" t="str"/>
      <x:c r="J9" s="34" t="str">
        <x:v>中国境内</x:v>
      </x:c>
      <x:c r="K9" s="34" t="str">
        <x:v>微短剧</x:v>
      </x:c>
      <x:c r="L9" s="40" t="n">
        <x:v>46260</x:v>
      </x:c>
      <x:c r="M9" s="31" t="str">
        <x:v>影视伙伴严格口径 + 政府文件候选</x:v>
      </x:c>
      <x:c r="N9" s="31" t="str">
        <x:v>https://www.nrta.gov.cn/art/2026/7/31/art_113_73785.html</x:v>
      </x:c>
      <x:c r="O9" s="34" t="str"/>
      <x:c r="P9" s="34" t="str">
        <x:v>请补充真实触发口径、边界案例及是否必然协审</x:v>
      </x:c>
    </x:row>
    <x:row r="10" ht="44" customHeight="1">
      <x:c r="A10" s="31" t="str">
        <x:v>P1</x:v>
      </x:c>
      <x:c r="B10" s="31" t="str">
        <x:v>p2_subject_rules</x:v>
      </x:c>
      <x:c r="C10" s="31" t="str">
        <x:v>SR-005</x:v>
      </x:c>
      <x:c r="D10" s="31" t="str">
        <x:v>特殊题材：统战（united_front）</x:v>
      </x:c>
      <x:c r="E10" s="31" t="str">
        <x:v>字面触发“统战”；当前联调结果为T1并需协审；expert_pending=true</x:v>
      </x:c>
      <x:c r="F10" s="37"/>
      <x:c r="G10" s="37"/>
      <x:c r="H10" s="34" t="str">
        <x:v>待确认</x:v>
      </x:c>
      <x:c r="I10" s="34" t="str"/>
      <x:c r="J10" s="34" t="str">
        <x:v>中国境内</x:v>
      </x:c>
      <x:c r="K10" s="34" t="str">
        <x:v>微短剧</x:v>
      </x:c>
      <x:c r="L10" s="40" t="n">
        <x:v>46260</x:v>
      </x:c>
      <x:c r="M10" s="31" t="str">
        <x:v>影视伙伴严格口径 + 政府文件候选</x:v>
      </x:c>
      <x:c r="N10" s="31" t="str">
        <x:v>https://www.nrta.gov.cn/art/2026/7/31/art_113_73785.html</x:v>
      </x:c>
      <x:c r="O10" s="34" t="str"/>
      <x:c r="P10" s="34" t="str">
        <x:v>请补充真实触发口径、边界案例及是否必然协审</x:v>
      </x:c>
    </x:row>
    <x:row r="11" ht="44" customHeight="1">
      <x:c r="A11" s="31" t="str">
        <x:v>P1</x:v>
      </x:c>
      <x:c r="B11" s="31" t="str">
        <x:v>p2_subject_rules</x:v>
      </x:c>
      <x:c r="C11" s="31" t="str">
        <x:v>SR-006</x:v>
      </x:c>
      <x:c r="D11" s="31" t="str">
        <x:v>特殊题材：民族（ethnic）</x:v>
      </x:c>
      <x:c r="E11" s="31" t="str">
        <x:v>字面触发“民族”；当前联调结果为T1并需协审；expert_pending=true</x:v>
      </x:c>
      <x:c r="F11" s="37"/>
      <x:c r="G11" s="37"/>
      <x:c r="H11" s="34" t="str">
        <x:v>待确认</x:v>
      </x:c>
      <x:c r="I11" s="34" t="str"/>
      <x:c r="J11" s="34" t="str">
        <x:v>中国境内</x:v>
      </x:c>
      <x:c r="K11" s="34" t="str">
        <x:v>微短剧</x:v>
      </x:c>
      <x:c r="L11" s="40" t="n">
        <x:v>46260</x:v>
      </x:c>
      <x:c r="M11" s="31" t="str">
        <x:v>影视伙伴严格口径 + 政府文件候选</x:v>
      </x:c>
      <x:c r="N11" s="31" t="str">
        <x:v>https://www.nrta.gov.cn/art/2026/7/31/art_113_73785.html</x:v>
      </x:c>
      <x:c r="O11" s="34" t="str"/>
      <x:c r="P11" s="34" t="str">
        <x:v>请补充真实触发口径、边界案例及是否必然协审</x:v>
      </x:c>
    </x:row>
    <x:row r="12" ht="44" customHeight="1">
      <x:c r="A12" s="31" t="str">
        <x:v>P1</x:v>
      </x:c>
      <x:c r="B12" s="31" t="str">
        <x:v>p2_subject_rules</x:v>
      </x:c>
      <x:c r="C12" s="31" t="str">
        <x:v>SR-007</x:v>
      </x:c>
      <x:c r="D12" s="31" t="str">
        <x:v>特殊题材：宗教（religious）</x:v>
      </x:c>
      <x:c r="E12" s="31" t="str">
        <x:v>字面触发“宗教”；当前联调结果为T1并需协审；expert_pending=true</x:v>
      </x:c>
      <x:c r="F12" s="37"/>
      <x:c r="G12" s="37"/>
      <x:c r="H12" s="34" t="str">
        <x:v>待确认</x:v>
      </x:c>
      <x:c r="I12" s="34" t="str"/>
      <x:c r="J12" s="34" t="str">
        <x:v>中国境内</x:v>
      </x:c>
      <x:c r="K12" s="34" t="str">
        <x:v>微短剧</x:v>
      </x:c>
      <x:c r="L12" s="40" t="n">
        <x:v>46260</x:v>
      </x:c>
      <x:c r="M12" s="31" t="str">
        <x:v>影视伙伴严格口径 + 政府文件候选</x:v>
      </x:c>
      <x:c r="N12" s="31" t="str">
        <x:v>https://www.nrta.gov.cn/art/2026/7/31/art_113_73785.html</x:v>
      </x:c>
      <x:c r="O12" s="34" t="str"/>
      <x:c r="P12" s="34" t="str">
        <x:v>请补充真实触发口径、边界案例及是否必然协审</x:v>
      </x:c>
    </x:row>
    <x:row r="13" ht="44" customHeight="1">
      <x:c r="A13" s="31" t="str">
        <x:v>P1</x:v>
      </x:c>
      <x:c r="B13" s="31" t="str">
        <x:v>p2_subject_rules</x:v>
      </x:c>
      <x:c r="C13" s="31" t="str">
        <x:v>SR-008</x:v>
      </x:c>
      <x:c r="D13" s="31" t="str">
        <x:v>特殊题材：司法（judicial）</x:v>
      </x:c>
      <x:c r="E13" s="31" t="str">
        <x:v>字面触发“司法”；当前联调结果为T1并需协审；expert_pending=true</x:v>
      </x:c>
      <x:c r="F13" s="37"/>
      <x:c r="G13" s="37"/>
      <x:c r="H13" s="34" t="str">
        <x:v>待确认</x:v>
      </x:c>
      <x:c r="I13" s="34" t="str"/>
      <x:c r="J13" s="34" t="str">
        <x:v>中国境内</x:v>
      </x:c>
      <x:c r="K13" s="34" t="str">
        <x:v>微短剧</x:v>
      </x:c>
      <x:c r="L13" s="40" t="n">
        <x:v>46260</x:v>
      </x:c>
      <x:c r="M13" s="31" t="str">
        <x:v>影视伙伴严格口径 + 政府文件候选</x:v>
      </x:c>
      <x:c r="N13" s="31" t="str">
        <x:v>https://www.nrta.gov.cn/art/2026/7/31/art_113_73785.html</x:v>
      </x:c>
      <x:c r="O13" s="34" t="str"/>
      <x:c r="P13" s="34" t="str">
        <x:v>请补充真实触发口径、边界案例及是否必然协审</x:v>
      </x:c>
    </x:row>
    <x:row r="14" ht="44" customHeight="1">
      <x:c r="A14" s="31" t="str">
        <x:v>P1</x:v>
      </x:c>
      <x:c r="B14" s="31" t="str">
        <x:v>p2_subject_rules</x:v>
      </x:c>
      <x:c r="C14" s="31" t="str">
        <x:v>SR-009</x:v>
      </x:c>
      <x:c r="D14" s="31" t="str">
        <x:v>特殊题材：公安（public_security）</x:v>
      </x:c>
      <x:c r="E14" s="31" t="str">
        <x:v>字面触发“公安”；当前联调结果为T1并需协审；expert_pending=true</x:v>
      </x:c>
      <x:c r="F14" s="37"/>
      <x:c r="G14" s="37"/>
      <x:c r="H14" s="34" t="str">
        <x:v>待确认</x:v>
      </x:c>
      <x:c r="I14" s="34" t="str"/>
      <x:c r="J14" s="34" t="str">
        <x:v>中国境内</x:v>
      </x:c>
      <x:c r="K14" s="34" t="str">
        <x:v>微短剧</x:v>
      </x:c>
      <x:c r="L14" s="40" t="n">
        <x:v>46260</x:v>
      </x:c>
      <x:c r="M14" s="31" t="str">
        <x:v>影视伙伴严格口径 + 政府文件候选</x:v>
      </x:c>
      <x:c r="N14" s="31" t="str">
        <x:v>https://www.nrta.gov.cn/art/2026/7/31/art_113_73785.html</x:v>
      </x:c>
      <x:c r="O14" s="34" t="str"/>
      <x:c r="P14" s="34" t="str">
        <x:v>请补充真实触发口径、边界案例及是否必然协审</x:v>
      </x:c>
    </x:row>
    <x:row r="15" ht="44" customHeight="1">
      <x:c r="A15" s="31" t="str">
        <x:v>P1</x:v>
      </x:c>
      <x:c r="B15" s="31" t="str">
        <x:v>p3_tier_thresholds</x:v>
      </x:c>
      <x:c r="C15" s="31" t="str">
        <x:v>p3-live-action</x:v>
      </x:c>
      <x:c r="D15" s="31" t="str">
        <x:v>真人微短剧金额门槛</x:v>
      </x:c>
      <x:c r="E15" s="31" t="str">
        <x:v>T1≥300万元；T2≥100万元；其余为T3</x:v>
      </x:c>
      <x:c r="F15" s="37" t="n">
        <x:v>3000000</x:v>
      </x:c>
      <x:c r="G15" s="37" t="n">
        <x:v>1000000</x:v>
      </x:c>
      <x:c r="H15" s="34" t="str">
        <x:v>待确认</x:v>
      </x:c>
      <x:c r="I15" s="34" t="str"/>
      <x:c r="J15" s="34" t="str">
        <x:v>中国境内</x:v>
      </x:c>
      <x:c r="K15" s="34" t="str">
        <x:v>真人微短剧</x:v>
      </x:c>
      <x:c r="L15" s="40" t="n">
        <x:v>46023</x:v>
      </x:c>
      <x:c r="M15" s="31" t="str">
        <x:v>政府办事信息候选</x:v>
      </x:c>
      <x:c r="N15" s="31" t="str">
        <x:v>https://whhlyj.baoji.gov.cn/zzzb/xygl/202601/t20260115_1240723.html</x:v>
      </x:c>
      <x:c r="O15" s="34" t="str"/>
      <x:c r="P15" s="34" t="str">
        <x:v>请确认金额口径、等于边界时的档位、适用地区和生效时间</x:v>
      </x:c>
    </x:row>
    <x:row r="16" ht="44" customHeight="1">
      <x:c r="A16" s="32" t="str">
        <x:v>P1</x:v>
      </x:c>
      <x:c r="B16" s="32" t="str">
        <x:v>p3_tier_thresholds</x:v>
      </x:c>
      <x:c r="C16" s="32" t="str">
        <x:v>p3-ai-generated</x:v>
      </x:c>
      <x:c r="D16" s="32" t="str">
        <x:v>AI生成微短剧金额门槛</x:v>
      </x:c>
      <x:c r="E16" s="32" t="str">
        <x:v>T1≥80万元；T2≥30万元；其余为T3</x:v>
      </x:c>
      <x:c r="F16" s="38" t="n">
        <x:v>800000</x:v>
      </x:c>
      <x:c r="G16" s="38" t="n">
        <x:v>300000</x:v>
      </x:c>
      <x:c r="H16" s="35" t="str">
        <x:v>待确认</x:v>
      </x:c>
      <x:c r="I16" s="35" t="str"/>
      <x:c r="J16" s="35" t="str">
        <x:v>中国境内</x:v>
      </x:c>
      <x:c r="K16" s="35" t="str">
        <x:v>AI生成微短剧</x:v>
      </x:c>
      <x:c r="L16" s="41" t="n">
        <x:v>46204</x:v>
      </x:c>
      <x:c r="M16" s="32" t="str">
        <x:v>政府办事信息候选</x:v>
      </x:c>
      <x:c r="N16" s="32" t="str">
        <x:v>https://wxb.xzdw.gov.cn/wlcb/cbgz/202606/t20260626_680352.html</x:v>
      </x:c>
      <x:c r="O16" s="35" t="str"/>
      <x:c r="P16" s="35" t="str">
        <x:v>请确认金额口径、等于边界时的档位、适用地区和生效时间</x:v>
      </x:c>
    </x:row>
  </x:sheetData>
  <x:mergeCells>
    <x:mergeCell ref="A1:P1"/>
    <x:mergeCell ref="A2:P2"/>
  </x:mergeCells>
  <x:dataValidations count="1">
    <x:dataValidation type="list" sqref="H5:H16">
      <x:formula1>"待确认,已确认,需修改,无法确认"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d8eb771816431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2" hidden="0" customWidth="1"/>
    <x:col min="3" max="3" width="22" hidden="0" customWidth="1"/>
    <x:col min="4" max="4" width="14" hidden="0" customWidth="1"/>
    <x:col min="5" max="5" width="45" hidden="0" customWidth="1"/>
    <x:col min="6" max="6" width="10" hidden="0" customWidth="1"/>
    <x:col min="7" max="7" width="12" hidden="0" customWidth="1"/>
    <x:col min="8" max="8" width="12" hidden="0" customWidth="1"/>
    <x:col min="9" max="9" width="20" hidden="0" customWidth="1"/>
    <x:col min="10" max="10" width="12" hidden="0" customWidth="1"/>
    <x:col min="11" max="11" width="30" hidden="0" customWidth="1"/>
    <x:col min="12" max="12" width="16" hidden="0" customWidth="1"/>
    <x:col min="13" max="13" width="16" hidden="0" customWidth="1"/>
    <x:col min="14" max="14" width="16" hidden="0" customWidth="1"/>
    <x:col min="15" max="15" width="30" hidden="0" customWidth="1"/>
    <x:col min="16" max="16" width="42" hidden="0" customWidth="1"/>
    <x:col min="17" max="17" width="16" hidden="0" customWidth="1"/>
    <x:col min="18" max="18" width="50" hidden="0" customWidth="1"/>
  </x:cols>
  <x:sheetData>
    <x:row r="1" ht="30" customHeight="1">
      <x:c r="A1" s="3" t="str">
        <x:v>影视伙伴政策数据确认表</x:v>
      </x:c>
      <x:c r="B1" s="3" t="str">
        <x:v>影视伙伴政策数据确认表</x:v>
      </x:c>
      <x:c r="C1" s="3" t="str">
        <x:v>影视伙伴政策数据确认表</x:v>
      </x:c>
      <x:c r="D1" s="3" t="str">
        <x:v>影视伙伴政策数据确认表</x:v>
      </x:c>
      <x:c r="E1" s="3" t="str">
        <x:v>影视伙伴政策数据确认表</x:v>
      </x:c>
      <x:c r="F1" s="3" t="str">
        <x:v>影视伙伴政策数据确认表</x:v>
      </x:c>
      <x:c r="G1" s="3" t="str">
        <x:v>影视伙伴政策数据确认表</x:v>
      </x:c>
      <x:c r="H1" s="3" t="str">
        <x:v>影视伙伴政策数据确认表</x:v>
      </x:c>
      <x:c r="I1" s="3" t="str">
        <x:v>影视伙伴政策数据确认表</x:v>
      </x:c>
      <x:c r="J1" s="3" t="str">
        <x:v>影视伙伴政策数据确认表</x:v>
      </x:c>
      <x:c r="K1" s="3" t="str">
        <x:v>影视伙伴政策数据确认表</x:v>
      </x:c>
      <x:c r="L1" s="3" t="str">
        <x:v>影视伙伴政策数据确认表</x:v>
      </x:c>
      <x:c r="M1" s="3" t="str">
        <x:v>影视伙伴政策数据确认表</x:v>
      </x:c>
      <x:c r="N1" s="3" t="str">
        <x:v>影视伙伴政策数据确认表</x:v>
      </x:c>
      <x:c r="O1" s="3" t="str">
        <x:v>影视伙伴政策数据确认表</x:v>
      </x:c>
      <x:c r="P1" s="3" t="str">
        <x:v>影视伙伴政策数据确认表</x:v>
      </x:c>
      <x:c r="Q1" s="3" t="str">
        <x:v>影视伙伴政策数据确认表</x:v>
      </x:c>
      <x:c r="R1" s="3" t="str">
        <x:v>影视伙伴政策数据确认表</x:v>
      </x:c>
    </x:row>
    <x:row r="2" ht="28" customHeight="1">
      <x:c r="A2" s="7" t="str">
        <x:v>联调候选数据，未经完整人工复核，不构成法律意见。</x:v>
      </x:c>
      <x:c r="B2" s="7" t="str">
        <x:v>联调候选数据，未经完整人工复核，不构成法律意见。</x:v>
      </x:c>
      <x:c r="C2" s="7" t="str">
        <x:v>联调候选数据，未经完整人工复核，不构成法律意见。</x:v>
      </x:c>
      <x:c r="D2" s="7" t="str">
        <x:v>联调候选数据，未经完整人工复核，不构成法律意见。</x:v>
      </x:c>
      <x:c r="E2" s="7" t="str">
        <x:v>联调候选数据，未经完整人工复核，不构成法律意见。</x:v>
      </x:c>
      <x:c r="F2" s="7" t="str">
        <x:v>联调候选数据，未经完整人工复核，不构成法律意见。</x:v>
      </x:c>
      <x:c r="G2" s="7" t="str">
        <x:v>联调候选数据，未经完整人工复核，不构成法律意见。</x:v>
      </x:c>
      <x:c r="H2" s="7" t="str">
        <x:v>联调候选数据，未经完整人工复核，不构成法律意见。</x:v>
      </x:c>
      <x:c r="I2" s="7" t="str">
        <x:v>联调候选数据，未经完整人工复核，不构成法律意见。</x:v>
      </x:c>
      <x:c r="J2" s="7" t="str">
        <x:v>联调候选数据，未经完整人工复核，不构成法律意见。</x:v>
      </x:c>
      <x:c r="K2" s="7" t="str">
        <x:v>联调候选数据，未经完整人工复核，不构成法律意见。</x:v>
      </x:c>
      <x:c r="L2" s="7" t="str">
        <x:v>联调候选数据，未经完整人工复核，不构成法律意见。</x:v>
      </x:c>
      <x:c r="M2" s="7" t="str">
        <x:v>联调候选数据，未经完整人工复核，不构成法律意见。</x:v>
      </x:c>
      <x:c r="N2" s="7" t="str">
        <x:v>联调候选数据，未经完整人工复核，不构成法律意见。</x:v>
      </x:c>
      <x:c r="O2" s="7" t="str">
        <x:v>联调候选数据，未经完整人工复核，不构成法律意见。</x:v>
      </x:c>
      <x:c r="P2" s="7" t="str">
        <x:v>联调候选数据，未经完整人工复核，不构成法律意见。</x:v>
      </x:c>
      <x:c r="Q2" s="7" t="str">
        <x:v>联调候选数据，未经完整人工复核，不构成法律意见。</x:v>
      </x:c>
      <x:c r="R2" s="7" t="str">
        <x:v>联调候选数据，未经完整人工复核，不构成法律意见。</x:v>
      </x:c>
    </x:row>
    <x:row r="4" ht="32" customHeight="1">
      <x:c r="A4" s="22" t="str">
        <x:v>优先级</x:v>
      </x:c>
      <x:c r="B4" s="22" t="str">
        <x:v>Pack</x:v>
      </x:c>
      <x:c r="C4" s="22" t="str">
        <x:v>条目ID</x:v>
      </x:c>
      <x:c r="D4" s="22" t="str">
        <x:v>条目类型</x:v>
      </x:c>
      <x:c r="E4" s="22" t="str">
        <x:v>当前候选值</x:v>
      </x:c>
      <x:c r="F4" s="22" t="str">
        <x:v>步骤序号</x:v>
      </x:c>
      <x:c r="G4" s="22" t="str">
        <x:v>责任人</x:v>
      </x:c>
      <x:c r="H4" s="22" t="str">
        <x:v>是否必需</x:v>
      </x:c>
      <x:c r="I4" s="22" t="str">
        <x:v>asset_kind</x:v>
      </x:c>
      <x:c r="J4" s="22" t="str">
        <x:v>确认状态</x:v>
      </x:c>
      <x:c r="K4" s="22" t="str">
        <x:v>建议修改值</x:v>
      </x:c>
      <x:c r="L4" s="22" t="str">
        <x:v>适用地区</x:v>
      </x:c>
      <x:c r="M4" s="22" t="str">
        <x:v>项目类型</x:v>
      </x:c>
      <x:c r="N4" s="22" t="str">
        <x:v>effective_from</x:v>
      </x:c>
      <x:c r="O4" s="22" t="str">
        <x:v>依据类型</x:v>
      </x:c>
      <x:c r="P4" s="22" t="str">
        <x:v>来源链接或附件名</x:v>
      </x:c>
      <x:c r="Q4" s="22" t="str">
        <x:v>复核人</x:v>
      </x:c>
      <x:c r="R4" s="22" t="str">
        <x:v>备注与边界案例</x:v>
      </x:c>
    </x:row>
    <x:row r="5" ht="44" customHeight="1">
      <x:c r="A5" s="30" t="str">
        <x:v>P0</x:v>
      </x:c>
      <x:c r="B5" s="30" t="str">
        <x:v>p4_process_templates</x:v>
      </x:c>
      <x:c r="C5" s="30" t="str">
        <x:v>T1_7steps:1</x:v>
      </x:c>
      <x:c r="D5" s="30" t="str">
        <x:v>流程步骤</x:v>
      </x:c>
      <x:c r="E5" s="30" t="str">
        <x:v>T1_7steps 第1步：确认分类结果（roadmap.step.confirm_classification）</x:v>
      </x:c>
      <x:c r="F5" s="30" t="n">
        <x:v>1</x:v>
      </x:c>
      <x:c r="G5" s="30" t="str">
        <x:v>创作者（creator）</x:v>
      </x:c>
      <x:c r="H5" s="30" t="str"/>
      <x:c r="I5" s="30" t="str"/>
      <x:c r="J5" s="33" t="str">
        <x:v>待确认</x:v>
      </x:c>
      <x:c r="K5" s="33" t="str"/>
      <x:c r="L5" s="33" t="str">
        <x:v>中国境内</x:v>
      </x:c>
      <x:c r="M5" s="33" t="str">
        <x:v>T1</x:v>
      </x:c>
      <x:c r="N5" s="39"/>
      <x:c r="O5" s="30" t="str">
        <x:v>影视伙伴实际操作口径</x:v>
      </x:c>
      <x:c r="P5" s="30" t="str"/>
      <x:c r="Q5" s="33" t="str"/>
      <x:c r="R5" s="33" t="str">
        <x:v>关联材料：无；请确认顺序、责任人、必要性和时限</x:v>
      </x:c>
    </x:row>
    <x:row r="6" ht="44" customHeight="1">
      <x:c r="A6" s="31" t="str">
        <x:v>P0</x:v>
      </x:c>
      <x:c r="B6" s="31" t="str">
        <x:v>p4_process_templates</x:v>
      </x:c>
      <x:c r="C6" s="31" t="str">
        <x:v>T1_7steps:2</x:v>
      </x:c>
      <x:c r="D6" s="31" t="str">
        <x:v>流程步骤</x:v>
      </x:c>
      <x:c r="E6" s="31" t="str">
        <x:v>T1_7steps 第2步：准备并核对材料（roadmap.step.materials）</x:v>
      </x:c>
      <x:c r="F6" s="31" t="n">
        <x:v>2</x:v>
      </x:c>
      <x:c r="G6" s="31" t="str">
        <x:v>创作者（creator）</x:v>
      </x:c>
      <x:c r="H6" s="31" t="str"/>
      <x:c r="I6" s="31" t="str"/>
      <x:c r="J6" s="34" t="str">
        <x:v>待确认</x:v>
      </x:c>
      <x:c r="K6" s="34" t="str"/>
      <x:c r="L6" s="34" t="str">
        <x:v>中国境内</x:v>
      </x:c>
      <x:c r="M6" s="34" t="str">
        <x:v>T1</x:v>
      </x:c>
      <x:c r="N6" s="40"/>
      <x:c r="O6" s="31" t="str">
        <x:v>影视伙伴实际操作口径</x:v>
      </x:c>
      <x:c r="P6" s="31" t="str"/>
      <x:c r="Q6" s="34" t="str"/>
      <x:c r="R6" s="34" t="str">
        <x:v>关联材料：mat_synopsis、mat_script；请确认顺序、责任人、必要性和时限</x:v>
      </x:c>
    </x:row>
    <x:row r="7" ht="44" customHeight="1">
      <x:c r="A7" s="31" t="str">
        <x:v>P0</x:v>
      </x:c>
      <x:c r="B7" s="31" t="str">
        <x:v>p4_process_templates</x:v>
      </x:c>
      <x:c r="C7" s="31" t="str">
        <x:v>T1_7steps:3</x:v>
      </x:c>
      <x:c r="D7" s="31" t="str">
        <x:v>流程步骤</x:v>
      </x:c>
      <x:c r="E7" s="31" t="str">
        <x:v>T1_7steps 第3步：运行剧本预检（roadmap.step.script_precheck）</x:v>
      </x:c>
      <x:c r="F7" s="31" t="n">
        <x:v>3</x:v>
      </x:c>
      <x:c r="G7" s="31" t="str">
        <x:v>系统（system）</x:v>
      </x:c>
      <x:c r="H7" s="31" t="str"/>
      <x:c r="I7" s="31" t="str"/>
      <x:c r="J7" s="34" t="str">
        <x:v>待确认</x:v>
      </x:c>
      <x:c r="K7" s="34" t="str"/>
      <x:c r="L7" s="34" t="str">
        <x:v>中国境内</x:v>
      </x:c>
      <x:c r="M7" s="34" t="str">
        <x:v>T1</x:v>
      </x:c>
      <x:c r="N7" s="40"/>
      <x:c r="O7" s="31" t="str">
        <x:v>影视伙伴实际操作口径</x:v>
      </x:c>
      <x:c r="P7" s="31" t="str"/>
      <x:c r="Q7" s="34" t="str"/>
      <x:c r="R7" s="34" t="str">
        <x:v>关联材料：无；请确认顺序、责任人、必要性和时限</x:v>
      </x:c>
    </x:row>
    <x:row r="8" ht="44" customHeight="1">
      <x:c r="A8" s="31" t="str">
        <x:v>P0</x:v>
      </x:c>
      <x:c r="B8" s="31" t="str">
        <x:v>p4_process_templates</x:v>
      </x:c>
      <x:c r="C8" s="31" t="str">
        <x:v>T1_7steps:4</x:v>
      </x:c>
      <x:c r="D8" s="31" t="str">
        <x:v>流程步骤</x:v>
      </x:c>
      <x:c r="E8" s="31" t="str">
        <x:v>T1_7steps 第4步：处理协审事项（roadmap.step.resolve_coreview）</x:v>
      </x:c>
      <x:c r="F8" s="31" t="n">
        <x:v>4</x:v>
      </x:c>
      <x:c r="G8" s="31" t="str">
        <x:v>创作者（creator）</x:v>
      </x:c>
      <x:c r="H8" s="31" t="str"/>
      <x:c r="I8" s="31" t="str"/>
      <x:c r="J8" s="34" t="str">
        <x:v>待确认</x:v>
      </x:c>
      <x:c r="K8" s="34" t="str"/>
      <x:c r="L8" s="34" t="str">
        <x:v>中国境内</x:v>
      </x:c>
      <x:c r="M8" s="34" t="str">
        <x:v>T1</x:v>
      </x:c>
      <x:c r="N8" s="40"/>
      <x:c r="O8" s="31" t="str">
        <x:v>影视伙伴实际操作口径</x:v>
      </x:c>
      <x:c r="P8" s="31" t="str"/>
      <x:c r="Q8" s="34" t="str"/>
      <x:c r="R8" s="34" t="str">
        <x:v>关联材料：无；请确认顺序、责任人、必要性和时限</x:v>
      </x:c>
    </x:row>
    <x:row r="9" ht="44" customHeight="1">
      <x:c r="A9" s="31" t="str">
        <x:v>P0</x:v>
      </x:c>
      <x:c r="B9" s="31" t="str">
        <x:v>p4_process_templates</x:v>
      </x:c>
      <x:c r="C9" s="31" t="str">
        <x:v>T1_7steps:5</x:v>
      </x:c>
      <x:c r="D9" s="31" t="str">
        <x:v>流程步骤</x:v>
      </x:c>
      <x:c r="E9" s="31" t="str">
        <x:v>T1_7steps 第5步：确认并冻结备案表（roadmap.step.freeze_form）</x:v>
      </x:c>
      <x:c r="F9" s="31" t="n">
        <x:v>5</x:v>
      </x:c>
      <x:c r="G9" s="31" t="str">
        <x:v>创作者（creator）</x:v>
      </x:c>
      <x:c r="H9" s="31" t="str"/>
      <x:c r="I9" s="31" t="str"/>
      <x:c r="J9" s="34" t="str">
        <x:v>待确认</x:v>
      </x:c>
      <x:c r="K9" s="34" t="str"/>
      <x:c r="L9" s="34" t="str">
        <x:v>中国境内</x:v>
      </x:c>
      <x:c r="M9" s="34" t="str">
        <x:v>T1</x:v>
      </x:c>
      <x:c r="N9" s="40"/>
      <x:c r="O9" s="31" t="str">
        <x:v>影视伙伴实际操作口径</x:v>
      </x:c>
      <x:c r="P9" s="31" t="str"/>
      <x:c r="Q9" s="34" t="str"/>
      <x:c r="R9" s="34" t="str">
        <x:v>关联材料：无；请确认顺序、责任人、必要性和时限</x:v>
      </x:c>
    </x:row>
    <x:row r="10" ht="44" customHeight="1">
      <x:c r="A10" s="31" t="str">
        <x:v>P0</x:v>
      </x:c>
      <x:c r="B10" s="31" t="str">
        <x:v>p4_process_templates</x:v>
      </x:c>
      <x:c r="C10" s="31" t="str">
        <x:v>T1_7steps:6</x:v>
      </x:c>
      <x:c r="D10" s="31" t="str">
        <x:v>流程步骤</x:v>
      </x:c>
      <x:c r="E10" s="31" t="str">
        <x:v>T1_7steps 第6步：机构或主管部门审核（roadmap.step.authority_review）</x:v>
      </x:c>
      <x:c r="F10" s="31" t="n">
        <x:v>6</x:v>
      </x:c>
      <x:c r="G10" s="31" t="str">
        <x:v>机构（institution）</x:v>
      </x:c>
      <x:c r="H10" s="31" t="str"/>
      <x:c r="I10" s="31" t="str"/>
      <x:c r="J10" s="34" t="str">
        <x:v>待确认</x:v>
      </x:c>
      <x:c r="K10" s="34" t="str"/>
      <x:c r="L10" s="34" t="str">
        <x:v>中国境内</x:v>
      </x:c>
      <x:c r="M10" s="34" t="str">
        <x:v>T1</x:v>
      </x:c>
      <x:c r="N10" s="40"/>
      <x:c r="O10" s="31" t="str">
        <x:v>影视伙伴实际操作口径</x:v>
      </x:c>
      <x:c r="P10" s="31" t="str"/>
      <x:c r="Q10" s="34" t="str"/>
      <x:c r="R10" s="34" t="str">
        <x:v>关联材料：无；请确认顺序、责任人、必要性和时限</x:v>
      </x:c>
    </x:row>
    <x:row r="11" ht="44" customHeight="1">
      <x:c r="A11" s="31" t="str">
        <x:v>P0</x:v>
      </x:c>
      <x:c r="B11" s="31" t="str">
        <x:v>p4_process_templates</x:v>
      </x:c>
      <x:c r="C11" s="31" t="str">
        <x:v>T1_7steps:7</x:v>
      </x:c>
      <x:c r="D11" s="31" t="str">
        <x:v>流程步骤</x:v>
      </x:c>
      <x:c r="E11" s="31" t="str">
        <x:v>T1_7steps 第7步：记录备案结果（roadmap.step.record_filing）</x:v>
      </x:c>
      <x:c r="F11" s="31" t="n">
        <x:v>7</x:v>
      </x:c>
      <x:c r="G11" s="31" t="str">
        <x:v>机构（institution）</x:v>
      </x:c>
      <x:c r="H11" s="31" t="str"/>
      <x:c r="I11" s="31" t="str"/>
      <x:c r="J11" s="34" t="str">
        <x:v>待确认</x:v>
      </x:c>
      <x:c r="K11" s="34" t="str"/>
      <x:c r="L11" s="34" t="str">
        <x:v>中国境内</x:v>
      </x:c>
      <x:c r="M11" s="34" t="str">
        <x:v>T1</x:v>
      </x:c>
      <x:c r="N11" s="40"/>
      <x:c r="O11" s="31" t="str">
        <x:v>影视伙伴实际操作口径</x:v>
      </x:c>
      <x:c r="P11" s="31" t="str"/>
      <x:c r="Q11" s="34" t="str"/>
      <x:c r="R11" s="34" t="str">
        <x:v>关联材料：无；请确认顺序、责任人、必要性和时限</x:v>
      </x:c>
    </x:row>
    <x:row r="12" ht="44" customHeight="1">
      <x:c r="A12" s="31" t="str">
        <x:v>P0</x:v>
      </x:c>
      <x:c r="B12" s="31" t="str">
        <x:v>p4_process_templates</x:v>
      </x:c>
      <x:c r="C12" s="31" t="str">
        <x:v>T2_5steps:1</x:v>
      </x:c>
      <x:c r="D12" s="31" t="str">
        <x:v>流程步骤</x:v>
      </x:c>
      <x:c r="E12" s="31" t="str">
        <x:v>T2_5steps 第1步：准备并核对材料（roadmap.step.materials）</x:v>
      </x:c>
      <x:c r="F12" s="31" t="n">
        <x:v>1</x:v>
      </x:c>
      <x:c r="G12" s="31" t="str">
        <x:v>创作者（creator）</x:v>
      </x:c>
      <x:c r="H12" s="31" t="str"/>
      <x:c r="I12" s="31" t="str"/>
      <x:c r="J12" s="34" t="str">
        <x:v>待确认</x:v>
      </x:c>
      <x:c r="K12" s="34" t="str"/>
      <x:c r="L12" s="34" t="str">
        <x:v>中国境内</x:v>
      </x:c>
      <x:c r="M12" s="34" t="str">
        <x:v>T2</x:v>
      </x:c>
      <x:c r="N12" s="40"/>
      <x:c r="O12" s="31" t="str">
        <x:v>影视伙伴实际操作口径</x:v>
      </x:c>
      <x:c r="P12" s="31" t="str"/>
      <x:c r="Q12" s="34" t="str"/>
      <x:c r="R12" s="34" t="str">
        <x:v>关联材料：mat_synopsis、mat_script；请确认顺序、责任人、必要性和时限</x:v>
      </x:c>
    </x:row>
    <x:row r="13" ht="44" customHeight="1">
      <x:c r="A13" s="31" t="str">
        <x:v>P0</x:v>
      </x:c>
      <x:c r="B13" s="31" t="str">
        <x:v>p4_process_templates</x:v>
      </x:c>
      <x:c r="C13" s="31" t="str">
        <x:v>T2_5steps:2</x:v>
      </x:c>
      <x:c r="D13" s="31" t="str">
        <x:v>流程步骤</x:v>
      </x:c>
      <x:c r="E13" s="31" t="str">
        <x:v>T2_5steps 第2步：完成自查与剧本预检（roadmap.step.self_check）</x:v>
      </x:c>
      <x:c r="F13" s="31" t="n">
        <x:v>2</x:v>
      </x:c>
      <x:c r="G13" s="31" t="str">
        <x:v>创作者（creator）</x:v>
      </x:c>
      <x:c r="H13" s="31" t="str"/>
      <x:c r="I13" s="31" t="str"/>
      <x:c r="J13" s="34" t="str">
        <x:v>待确认</x:v>
      </x:c>
      <x:c r="K13" s="34" t="str"/>
      <x:c r="L13" s="34" t="str">
        <x:v>中国境内</x:v>
      </x:c>
      <x:c r="M13" s="34" t="str">
        <x:v>T2</x:v>
      </x:c>
      <x:c r="N13" s="40"/>
      <x:c r="O13" s="31" t="str">
        <x:v>影视伙伴实际操作口径</x:v>
      </x:c>
      <x:c r="P13" s="31" t="str"/>
      <x:c r="Q13" s="34" t="str"/>
      <x:c r="R13" s="34" t="str">
        <x:v>关联材料：无；请确认顺序、责任人、必要性和时限</x:v>
      </x:c>
    </x:row>
    <x:row r="14" ht="44" customHeight="1">
      <x:c r="A14" s="31" t="str">
        <x:v>P0</x:v>
      </x:c>
      <x:c r="B14" s="31" t="str">
        <x:v>p4_process_templates</x:v>
      </x:c>
      <x:c r="C14" s="31" t="str">
        <x:v>T2_5steps:3</x:v>
      </x:c>
      <x:c r="D14" s="31" t="str">
        <x:v>流程步骤</x:v>
      </x:c>
      <x:c r="E14" s="31" t="str">
        <x:v>T2_5steps 第3步：确认并冻结备案表（roadmap.step.freeze_form）</x:v>
      </x:c>
      <x:c r="F14" s="31" t="n">
        <x:v>3</x:v>
      </x:c>
      <x:c r="G14" s="31" t="str">
        <x:v>创作者（creator）</x:v>
      </x:c>
      <x:c r="H14" s="31" t="str"/>
      <x:c r="I14" s="31" t="str"/>
      <x:c r="J14" s="34" t="str">
        <x:v>待确认</x:v>
      </x:c>
      <x:c r="K14" s="34" t="str"/>
      <x:c r="L14" s="34" t="str">
        <x:v>中国境内</x:v>
      </x:c>
      <x:c r="M14" s="34" t="str">
        <x:v>T2</x:v>
      </x:c>
      <x:c r="N14" s="40"/>
      <x:c r="O14" s="31" t="str">
        <x:v>影视伙伴实际操作口径</x:v>
      </x:c>
      <x:c r="P14" s="31" t="str"/>
      <x:c r="Q14" s="34" t="str"/>
      <x:c r="R14" s="34" t="str">
        <x:v>关联材料：无；请确认顺序、责任人、必要性和时限</x:v>
      </x:c>
    </x:row>
    <x:row r="15" ht="44" customHeight="1">
      <x:c r="A15" s="31" t="str">
        <x:v>P0</x:v>
      </x:c>
      <x:c r="B15" s="31" t="str">
        <x:v>p4_process_templates</x:v>
      </x:c>
      <x:c r="C15" s="31" t="str">
        <x:v>T2_5steps:4</x:v>
      </x:c>
      <x:c r="D15" s="31" t="str">
        <x:v>流程步骤</x:v>
      </x:c>
      <x:c r="E15" s="31" t="str">
        <x:v>T2_5steps 第4步：机构审核（roadmap.step.institution_review）</x:v>
      </x:c>
      <x:c r="F15" s="31" t="n">
        <x:v>4</x:v>
      </x:c>
      <x:c r="G15" s="31" t="str">
        <x:v>机构（institution）</x:v>
      </x:c>
      <x:c r="H15" s="31" t="str"/>
      <x:c r="I15" s="31" t="str"/>
      <x:c r="J15" s="34" t="str">
        <x:v>待确认</x:v>
      </x:c>
      <x:c r="K15" s="34" t="str"/>
      <x:c r="L15" s="34" t="str">
        <x:v>中国境内</x:v>
      </x:c>
      <x:c r="M15" s="34" t="str">
        <x:v>T2</x:v>
      </x:c>
      <x:c r="N15" s="40"/>
      <x:c r="O15" s="31" t="str">
        <x:v>影视伙伴实际操作口径</x:v>
      </x:c>
      <x:c r="P15" s="31" t="str"/>
      <x:c r="Q15" s="34" t="str"/>
      <x:c r="R15" s="34" t="str">
        <x:v>关联材料：无；请确认顺序、责任人、必要性和时限</x:v>
      </x:c>
    </x:row>
    <x:row r="16" ht="44" customHeight="1">
      <x:c r="A16" s="31" t="str">
        <x:v>P0</x:v>
      </x:c>
      <x:c r="B16" s="31" t="str">
        <x:v>p4_process_templates</x:v>
      </x:c>
      <x:c r="C16" s="31" t="str">
        <x:v>T2_5steps:5</x:v>
      </x:c>
      <x:c r="D16" s="31" t="str">
        <x:v>流程步骤</x:v>
      </x:c>
      <x:c r="E16" s="31" t="str">
        <x:v>T2_5steps 第5步：记录备案结果（roadmap.step.record_filing）</x:v>
      </x:c>
      <x:c r="F16" s="31" t="n">
        <x:v>5</x:v>
      </x:c>
      <x:c r="G16" s="31" t="str">
        <x:v>机构（institution）</x:v>
      </x:c>
      <x:c r="H16" s="31" t="str"/>
      <x:c r="I16" s="31" t="str"/>
      <x:c r="J16" s="34" t="str">
        <x:v>待确认</x:v>
      </x:c>
      <x:c r="K16" s="34" t="str"/>
      <x:c r="L16" s="34" t="str">
        <x:v>中国境内</x:v>
      </x:c>
      <x:c r="M16" s="34" t="str">
        <x:v>T2</x:v>
      </x:c>
      <x:c r="N16" s="40"/>
      <x:c r="O16" s="31" t="str">
        <x:v>影视伙伴实际操作口径</x:v>
      </x:c>
      <x:c r="P16" s="31" t="str"/>
      <x:c r="Q16" s="34" t="str"/>
      <x:c r="R16" s="34" t="str">
        <x:v>关联材料：无；请确认顺序、责任人、必要性和时限</x:v>
      </x:c>
    </x:row>
    <x:row r="17" ht="44" customHeight="1">
      <x:c r="A17" s="31" t="str">
        <x:v>P0</x:v>
      </x:c>
      <x:c r="B17" s="31" t="str">
        <x:v>p4_process_templates</x:v>
      </x:c>
      <x:c r="C17" s="31" t="str">
        <x:v>T3_4steps:1</x:v>
      </x:c>
      <x:c r="D17" s="31" t="str">
        <x:v>流程步骤</x:v>
      </x:c>
      <x:c r="E17" s="31" t="str">
        <x:v>T3_4steps 第1步：准备并核对材料（roadmap.step.materials）</x:v>
      </x:c>
      <x:c r="F17" s="31" t="n">
        <x:v>1</x:v>
      </x:c>
      <x:c r="G17" s="31" t="str">
        <x:v>创作者（creator）</x:v>
      </x:c>
      <x:c r="H17" s="31" t="str"/>
      <x:c r="I17" s="31" t="str"/>
      <x:c r="J17" s="34" t="str">
        <x:v>待确认</x:v>
      </x:c>
      <x:c r="K17" s="34" t="str"/>
      <x:c r="L17" s="34" t="str">
        <x:v>中国境内</x:v>
      </x:c>
      <x:c r="M17" s="34" t="str">
        <x:v>T3</x:v>
      </x:c>
      <x:c r="N17" s="40"/>
      <x:c r="O17" s="31" t="str">
        <x:v>影视伙伴实际操作口径</x:v>
      </x:c>
      <x:c r="P17" s="31" t="str"/>
      <x:c r="Q17" s="34" t="str"/>
      <x:c r="R17" s="34" t="str">
        <x:v>关联材料：mat_synopsis、mat_script；请确认顺序、责任人、必要性和时限</x:v>
      </x:c>
    </x:row>
    <x:row r="18" ht="44" customHeight="1">
      <x:c r="A18" s="31" t="str">
        <x:v>P0</x:v>
      </x:c>
      <x:c r="B18" s="31" t="str">
        <x:v>p4_process_templates</x:v>
      </x:c>
      <x:c r="C18" s="31" t="str">
        <x:v>T3_4steps:2</x:v>
      </x:c>
      <x:c r="D18" s="31" t="str">
        <x:v>流程步骤</x:v>
      </x:c>
      <x:c r="E18" s="31" t="str">
        <x:v>T3_4steps 第2步：确认并冻结备案表（roadmap.step.freeze_form）</x:v>
      </x:c>
      <x:c r="F18" s="31" t="n">
        <x:v>2</x:v>
      </x:c>
      <x:c r="G18" s="31" t="str">
        <x:v>创作者（creator）</x:v>
      </x:c>
      <x:c r="H18" s="31" t="str"/>
      <x:c r="I18" s="31" t="str"/>
      <x:c r="J18" s="34" t="str">
        <x:v>待确认</x:v>
      </x:c>
      <x:c r="K18" s="34" t="str"/>
      <x:c r="L18" s="34" t="str">
        <x:v>中国境内</x:v>
      </x:c>
      <x:c r="M18" s="34" t="str">
        <x:v>T3</x:v>
      </x:c>
      <x:c r="N18" s="40"/>
      <x:c r="O18" s="31" t="str">
        <x:v>影视伙伴实际操作口径</x:v>
      </x:c>
      <x:c r="P18" s="31" t="str"/>
      <x:c r="Q18" s="34" t="str"/>
      <x:c r="R18" s="34" t="str">
        <x:v>关联材料：无；请确认顺序、责任人、必要性和时限</x:v>
      </x:c>
    </x:row>
    <x:row r="19" ht="44" customHeight="1">
      <x:c r="A19" s="31" t="str">
        <x:v>P0</x:v>
      </x:c>
      <x:c r="B19" s="31" t="str">
        <x:v>p4_process_templates</x:v>
      </x:c>
      <x:c r="C19" s="31" t="str">
        <x:v>T3_4steps:3</x:v>
      </x:c>
      <x:c r="D19" s="31" t="str">
        <x:v>流程步骤</x:v>
      </x:c>
      <x:c r="E19" s="31" t="str">
        <x:v>T3_4steps 第3步：机构审核（roadmap.step.institution_review）</x:v>
      </x:c>
      <x:c r="F19" s="31" t="n">
        <x:v>3</x:v>
      </x:c>
      <x:c r="G19" s="31" t="str">
        <x:v>机构（institution）</x:v>
      </x:c>
      <x:c r="H19" s="31" t="str"/>
      <x:c r="I19" s="31" t="str"/>
      <x:c r="J19" s="34" t="str">
        <x:v>待确认</x:v>
      </x:c>
      <x:c r="K19" s="34" t="str"/>
      <x:c r="L19" s="34" t="str">
        <x:v>中国境内</x:v>
      </x:c>
      <x:c r="M19" s="34" t="str">
        <x:v>T3</x:v>
      </x:c>
      <x:c r="N19" s="40"/>
      <x:c r="O19" s="31" t="str">
        <x:v>影视伙伴实际操作口径</x:v>
      </x:c>
      <x:c r="P19" s="31" t="str"/>
      <x:c r="Q19" s="34" t="str"/>
      <x:c r="R19" s="34" t="str">
        <x:v>关联材料：无；请确认顺序、责任人、必要性和时限</x:v>
      </x:c>
    </x:row>
    <x:row r="20" ht="44" customHeight="1">
      <x:c r="A20" s="31" t="str">
        <x:v>P0</x:v>
      </x:c>
      <x:c r="B20" s="31" t="str">
        <x:v>p4_process_templates</x:v>
      </x:c>
      <x:c r="C20" s="31" t="str">
        <x:v>T3_4steps:4</x:v>
      </x:c>
      <x:c r="D20" s="31" t="str">
        <x:v>流程步骤</x:v>
      </x:c>
      <x:c r="E20" s="31" t="str">
        <x:v>T3_4steps 第4步：记录备案结果（roadmap.step.record_filing）</x:v>
      </x:c>
      <x:c r="F20" s="31" t="n">
        <x:v>4</x:v>
      </x:c>
      <x:c r="G20" s="31" t="str">
        <x:v>机构（institution）</x:v>
      </x:c>
      <x:c r="H20" s="31" t="str"/>
      <x:c r="I20" s="31" t="str"/>
      <x:c r="J20" s="34" t="str">
        <x:v>待确认</x:v>
      </x:c>
      <x:c r="K20" s="34" t="str"/>
      <x:c r="L20" s="34" t="str">
        <x:v>中国境内</x:v>
      </x:c>
      <x:c r="M20" s="34" t="str">
        <x:v>T3</x:v>
      </x:c>
      <x:c r="N20" s="40"/>
      <x:c r="O20" s="31" t="str">
        <x:v>影视伙伴实际操作口径</x:v>
      </x:c>
      <x:c r="P20" s="31" t="str"/>
      <x:c r="Q20" s="34" t="str"/>
      <x:c r="R20" s="34" t="str">
        <x:v>关联材料：无；请确认顺序、责任人、必要性和时限</x:v>
      </x:c>
    </x:row>
    <x:row r="21" ht="44" customHeight="1">
      <x:c r="A21" s="31" t="str">
        <x:v>P0</x:v>
      </x:c>
      <x:c r="B21" s="31" t="str">
        <x:v>p5_form_templates</x:v>
      </x:c>
      <x:c r="C21" s="31" t="str">
        <x:v>p5-fact:title</x:v>
      </x:c>
      <x:c r="D21" s="31" t="str">
        <x:v>备案字段</x:v>
      </x:c>
      <x:c r="E21" s="31" t="str">
        <x:v>片名（title）</x:v>
      </x:c>
      <x:c r="F21" s="31"/>
      <x:c r="G21" s="31" t="str">
        <x:v>创作者（creator）</x:v>
      </x:c>
      <x:c r="H21" s="31" t="str">
        <x:v>是</x:v>
      </x:c>
      <x:c r="I21" s="31" t="str"/>
      <x:c r="J21" s="34" t="str">
        <x:v>待确认</x:v>
      </x:c>
      <x:c r="K21" s="34" t="str"/>
      <x:c r="L21" s="34" t="str">
        <x:v>中国境内</x:v>
      </x:c>
      <x:c r="M21" s="34" t="str">
        <x:v>T1/T2/T3</x:v>
      </x:c>
      <x:c r="N21" s="40"/>
      <x:c r="O21" s="31" t="str">
        <x:v>真实表格或办事指南待提供</x:v>
      </x:c>
      <x:c r="P21" s="31" t="str"/>
      <x:c r="Q21" s="34" t="str"/>
      <x:c r="R21" s="34" t="str">
        <x:v>请提供实际中文字段名、是否必填及表格模板</x:v>
      </x:c>
    </x:row>
    <x:row r="22" ht="44" customHeight="1">
      <x:c r="A22" s="31" t="str">
        <x:v>P0</x:v>
      </x:c>
      <x:c r="B22" s="31" t="str">
        <x:v>p5_form_templates</x:v>
      </x:c>
      <x:c r="C22" s="31" t="str">
        <x:v>p5-fact:episode_count</x:v>
      </x:c>
      <x:c r="D22" s="31" t="str">
        <x:v>备案字段</x:v>
      </x:c>
      <x:c r="E22" s="31" t="str">
        <x:v>集数（episode_count）</x:v>
      </x:c>
      <x:c r="F22" s="31"/>
      <x:c r="G22" s="31" t="str">
        <x:v>创作者（creator）</x:v>
      </x:c>
      <x:c r="H22" s="31" t="str">
        <x:v>是</x:v>
      </x:c>
      <x:c r="I22" s="31" t="str"/>
      <x:c r="J22" s="34" t="str">
        <x:v>待确认</x:v>
      </x:c>
      <x:c r="K22" s="34" t="str"/>
      <x:c r="L22" s="34" t="str">
        <x:v>中国境内</x:v>
      </x:c>
      <x:c r="M22" s="34" t="str">
        <x:v>T1/T2/T3</x:v>
      </x:c>
      <x:c r="N22" s="40"/>
      <x:c r="O22" s="31" t="str">
        <x:v>真实表格或办事指南待提供</x:v>
      </x:c>
      <x:c r="P22" s="31" t="str"/>
      <x:c r="Q22" s="34" t="str"/>
      <x:c r="R22" s="34" t="str">
        <x:v>请提供实际中文字段名、是否必填及表格模板</x:v>
      </x:c>
    </x:row>
    <x:row r="23" ht="44" customHeight="1">
      <x:c r="A23" s="31" t="str">
        <x:v>P0</x:v>
      </x:c>
      <x:c r="B23" s="31" t="str">
        <x:v>p5_form_templates</x:v>
      </x:c>
      <x:c r="C23" s="31" t="str">
        <x:v>p5-fact:episode_minutes</x:v>
      </x:c>
      <x:c r="D23" s="31" t="str">
        <x:v>备案字段</x:v>
      </x:c>
      <x:c r="E23" s="31" t="str">
        <x:v>单集时长（episode_minutes）</x:v>
      </x:c>
      <x:c r="F23" s="31"/>
      <x:c r="G23" s="31" t="str">
        <x:v>创作者（creator）</x:v>
      </x:c>
      <x:c r="H23" s="31" t="str">
        <x:v>是</x:v>
      </x:c>
      <x:c r="I23" s="31" t="str"/>
      <x:c r="J23" s="34" t="str">
        <x:v>待确认</x:v>
      </x:c>
      <x:c r="K23" s="34" t="str"/>
      <x:c r="L23" s="34" t="str">
        <x:v>中国境内</x:v>
      </x:c>
      <x:c r="M23" s="34" t="str">
        <x:v>T1/T2/T3</x:v>
      </x:c>
      <x:c r="N23" s="40"/>
      <x:c r="O23" s="31" t="str">
        <x:v>真实表格或办事指南待提供</x:v>
      </x:c>
      <x:c r="P23" s="31" t="str"/>
      <x:c r="Q23" s="34" t="str"/>
      <x:c r="R23" s="34" t="str">
        <x:v>请提供实际中文字段名、是否必填及表格模板</x:v>
      </x:c>
    </x:row>
    <x:row r="24" ht="44" customHeight="1">
      <x:c r="A24" s="31" t="str">
        <x:v>P0</x:v>
      </x:c>
      <x:c r="B24" s="31" t="str">
        <x:v>p5_form_templates</x:v>
      </x:c>
      <x:c r="C24" s="31" t="str">
        <x:v>p5-fact:investment_amount_rmb</x:v>
      </x:c>
      <x:c r="D24" s="31" t="str">
        <x:v>备案字段</x:v>
      </x:c>
      <x:c r="E24" s="31" t="str">
        <x:v>实际投资金额（investment_amount_rmb）</x:v>
      </x:c>
      <x:c r="F24" s="31"/>
      <x:c r="G24" s="31" t="str">
        <x:v>创作者（creator）</x:v>
      </x:c>
      <x:c r="H24" s="31" t="str">
        <x:v>是</x:v>
      </x:c>
      <x:c r="I24" s="31" t="str"/>
      <x:c r="J24" s="34" t="str">
        <x:v>待确认</x:v>
      </x:c>
      <x:c r="K24" s="34" t="str"/>
      <x:c r="L24" s="34" t="str">
        <x:v>中国境内</x:v>
      </x:c>
      <x:c r="M24" s="34" t="str">
        <x:v>T1/T2/T3</x:v>
      </x:c>
      <x:c r="N24" s="40"/>
      <x:c r="O24" s="31" t="str">
        <x:v>真实表格或办事指南待提供</x:v>
      </x:c>
      <x:c r="P24" s="31" t="str"/>
      <x:c r="Q24" s="34" t="str"/>
      <x:c r="R24" s="34" t="str">
        <x:v>请提供实际中文字段名、是否必填及表格模板</x:v>
      </x:c>
    </x:row>
    <x:row r="25" ht="44" customHeight="1">
      <x:c r="A25" s="31" t="str">
        <x:v>P0</x:v>
      </x:c>
      <x:c r="B25" s="31" t="str">
        <x:v>p5_form_templates</x:v>
      </x:c>
      <x:c r="C25" s="31" t="str">
        <x:v>p5-fact:applicant_entity</x:v>
      </x:c>
      <x:c r="D25" s="31" t="str">
        <x:v>备案字段</x:v>
      </x:c>
      <x:c r="E25" s="31" t="str">
        <x:v>申报主体（applicant_entity）</x:v>
      </x:c>
      <x:c r="F25" s="31"/>
      <x:c r="G25" s="31" t="str">
        <x:v>创作者（creator）</x:v>
      </x:c>
      <x:c r="H25" s="31" t="str">
        <x:v>是</x:v>
      </x:c>
      <x:c r="I25" s="31" t="str"/>
      <x:c r="J25" s="34" t="str">
        <x:v>待确认</x:v>
      </x:c>
      <x:c r="K25" s="34" t="str"/>
      <x:c r="L25" s="34" t="str">
        <x:v>中国境内</x:v>
      </x:c>
      <x:c r="M25" s="34" t="str">
        <x:v>T1/T2/T3</x:v>
      </x:c>
      <x:c r="N25" s="40"/>
      <x:c r="O25" s="31" t="str">
        <x:v>真实表格或办事指南待提供</x:v>
      </x:c>
      <x:c r="P25" s="31" t="str"/>
      <x:c r="Q25" s="34" t="str"/>
      <x:c r="R25" s="34" t="str">
        <x:v>请提供实际中文字段名、是否必填及表格模板</x:v>
      </x:c>
    </x:row>
    <x:row r="26" ht="44" customHeight="1">
      <x:c r="A26" s="31" t="str">
        <x:v>P0</x:v>
      </x:c>
      <x:c r="B26" s="31" t="str">
        <x:v>p5_form_templates</x:v>
      </x:c>
      <x:c r="C26" s="31" t="str">
        <x:v>mat_synopsis</x:v>
      </x:c>
      <x:c r="D26" s="31" t="str">
        <x:v>材料清单</x:v>
      </x:c>
      <x:c r="E26" s="31" t="str">
        <x:v>剧本梗概（synopsis）</x:v>
      </x:c>
      <x:c r="F26" s="31"/>
      <x:c r="G26" s="31" t="str">
        <x:v>创作者（creator）</x:v>
      </x:c>
      <x:c r="H26" s="31" t="str">
        <x:v>是</x:v>
      </x:c>
      <x:c r="I26" s="31" t="str">
        <x:v>剧本梗概（synopsis）</x:v>
      </x:c>
      <x:c r="J26" s="34" t="str">
        <x:v>待确认</x:v>
      </x:c>
      <x:c r="K26" s="34" t="str"/>
      <x:c r="L26" s="34" t="str">
        <x:v>中国境内</x:v>
      </x:c>
      <x:c r="M26" s="34" t="str">
        <x:v>T1/T2/T3</x:v>
      </x:c>
      <x:c r="N26" s="40"/>
      <x:c r="O26" s="31" t="str">
        <x:v>真实材料清单或模板待提供</x:v>
      </x:c>
      <x:c r="P26" s="31" t="str"/>
      <x:c r="Q26" s="34" t="str"/>
      <x:c r="R26" s="34" t="str">
        <x:v>请确认材料名称、必要性、适用档位、文件类型及模板</x:v>
      </x:c>
    </x:row>
    <x:row r="27" ht="44" customHeight="1">
      <x:c r="A27" s="31" t="str">
        <x:v>P0</x:v>
      </x:c>
      <x:c r="B27" s="31" t="str">
        <x:v>p5_form_templates</x:v>
      </x:c>
      <x:c r="C27" s="31" t="str">
        <x:v>mat_script</x:v>
      </x:c>
      <x:c r="D27" s="31" t="str">
        <x:v>材料清单</x:v>
      </x:c>
      <x:c r="E27" s="31" t="str">
        <x:v>剧本（script）</x:v>
      </x:c>
      <x:c r="F27" s="31"/>
      <x:c r="G27" s="31" t="str">
        <x:v>创作者（creator）</x:v>
      </x:c>
      <x:c r="H27" s="31" t="str">
        <x:v>是</x:v>
      </x:c>
      <x:c r="I27" s="31" t="str">
        <x:v>剧本（script）</x:v>
      </x:c>
      <x:c r="J27" s="34" t="str">
        <x:v>待确认</x:v>
      </x:c>
      <x:c r="K27" s="34" t="str"/>
      <x:c r="L27" s="34" t="str">
        <x:v>中国境内</x:v>
      </x:c>
      <x:c r="M27" s="34" t="str">
        <x:v>T1/T2/T3</x:v>
      </x:c>
      <x:c r="N27" s="40"/>
      <x:c r="O27" s="31" t="str">
        <x:v>真实材料清单或模板待提供</x:v>
      </x:c>
      <x:c r="P27" s="31" t="str"/>
      <x:c r="Q27" s="34" t="str"/>
      <x:c r="R27" s="34" t="str">
        <x:v>请确认材料名称、必要性、适用档位、文件类型及模板</x:v>
      </x:c>
    </x:row>
    <x:row r="28" ht="44" customHeight="1">
      <x:c r="A28" s="31" t="str">
        <x:v>P0</x:v>
      </x:c>
      <x:c r="B28" s="31" t="str">
        <x:v>p5_form_templates</x:v>
      </x:c>
      <x:c r="C28" s="31" t="str">
        <x:v>mat_supporting_document</x:v>
      </x:c>
      <x:c r="D28" s="31" t="str">
        <x:v>材料清单</x:v>
      </x:c>
      <x:c r="E28" s="31" t="str">
        <x:v>佐证材料（supporting_document）</x:v>
      </x:c>
      <x:c r="F28" s="31"/>
      <x:c r="G28" s="31" t="str">
        <x:v>创作者（creator）</x:v>
      </x:c>
      <x:c r="H28" s="31" t="str">
        <x:v>否</x:v>
      </x:c>
      <x:c r="I28" s="31" t="str">
        <x:v>佐证材料（supporting_document）</x:v>
      </x:c>
      <x:c r="J28" s="34" t="str">
        <x:v>待确认</x:v>
      </x:c>
      <x:c r="K28" s="34" t="str"/>
      <x:c r="L28" s="34" t="str">
        <x:v>中国境内</x:v>
      </x:c>
      <x:c r="M28" s="34" t="str">
        <x:v>T1/T2/T3</x:v>
      </x:c>
      <x:c r="N28" s="40"/>
      <x:c r="O28" s="31" t="str">
        <x:v>真实材料清单或模板待提供</x:v>
      </x:c>
      <x:c r="P28" s="31" t="str"/>
      <x:c r="Q28" s="34" t="str"/>
      <x:c r="R28" s="34" t="str">
        <x:v>请确认材料名称、必要性、适用档位、文件类型及模板</x:v>
      </x:c>
    </x:row>
    <x:row r="29" ht="44" customHeight="1">
      <x:c r="A29" s="31" t="str">
        <x:v>P0</x:v>
      </x:c>
      <x:c r="B29" s="31" t="str">
        <x:v>p5_form_templates</x:v>
      </x:c>
      <x:c r="C29" s="31" t="str">
        <x:v>mat_prompts</x:v>
      </x:c>
      <x:c r="D29" s="31" t="str">
        <x:v>材料清单</x:v>
      </x:c>
      <x:c r="E29" s="31" t="str">
        <x:v>生成提示词（prompts）</x:v>
      </x:c>
      <x:c r="F29" s="31"/>
      <x:c r="G29" s="31" t="str">
        <x:v>创作者（creator）</x:v>
      </x:c>
      <x:c r="H29" s="31" t="str">
        <x:v>否</x:v>
      </x:c>
      <x:c r="I29" s="31" t="str">
        <x:v>生成提示词（prompts）</x:v>
      </x:c>
      <x:c r="J29" s="34" t="str">
        <x:v>待确认</x:v>
      </x:c>
      <x:c r="K29" s="34" t="str"/>
      <x:c r="L29" s="34" t="str">
        <x:v>中国境内</x:v>
      </x:c>
      <x:c r="M29" s="34" t="str">
        <x:v>T1/T2/T3</x:v>
      </x:c>
      <x:c r="N29" s="40"/>
      <x:c r="O29" s="31" t="str">
        <x:v>真实材料清单或模板待提供</x:v>
      </x:c>
      <x:c r="P29" s="31" t="str"/>
      <x:c r="Q29" s="34" t="str"/>
      <x:c r="R29" s="34" t="str">
        <x:v>请确认材料名称、必要性、适用档位、文件类型及模板</x:v>
      </x:c>
    </x:row>
    <x:row r="30" ht="44" customHeight="1">
      <x:c r="A30" s="32" t="str">
        <x:v>P0</x:v>
      </x:c>
      <x:c r="B30" s="32" t="str">
        <x:v>p5_form_templates</x:v>
      </x:c>
      <x:c r="C30" s="32" t="str">
        <x:v>mat_subtitle_sheet</x:v>
      </x:c>
      <x:c r="D30" s="32" t="str">
        <x:v>材料清单</x:v>
      </x:c>
      <x:c r="E30" s="32" t="str">
        <x:v>字幕表（subtitle_sheet）</x:v>
      </x:c>
      <x:c r="F30" s="32"/>
      <x:c r="G30" s="32" t="str">
        <x:v>创作者（creator）</x:v>
      </x:c>
      <x:c r="H30" s="32" t="str">
        <x:v>否</x:v>
      </x:c>
      <x:c r="I30" s="32" t="str">
        <x:v>字幕表（subtitle_sheet）</x:v>
      </x:c>
      <x:c r="J30" s="35" t="str">
        <x:v>待确认</x:v>
      </x:c>
      <x:c r="K30" s="35" t="str"/>
      <x:c r="L30" s="35" t="str">
        <x:v>中国境内</x:v>
      </x:c>
      <x:c r="M30" s="35" t="str">
        <x:v>T1/T2/T3</x:v>
      </x:c>
      <x:c r="N30" s="41"/>
      <x:c r="O30" s="32" t="str">
        <x:v>真实材料清单或模板待提供</x:v>
      </x:c>
      <x:c r="P30" s="32" t="str"/>
      <x:c r="Q30" s="35" t="str"/>
      <x:c r="R30" s="35" t="str">
        <x:v>请确认材料名称、必要性、适用档位、文件类型及模板</x:v>
      </x:c>
    </x:row>
  </x:sheetData>
  <x:mergeCells>
    <x:mergeCell ref="A1:R1"/>
    <x:mergeCell ref="A2:R2"/>
  </x:mergeCells>
  <x:dataValidations count="1">
    <x:dataValidation type="list" sqref="J5:J30">
      <x:formula1>"待确认,已确认,需修改,无法确认"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dae6450f58442e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2" hidden="0" customWidth="1"/>
    <x:col min="3" max="3" width="26" hidden="0" customWidth="1"/>
    <x:col min="4" max="4" width="18" hidden="0" customWidth="1"/>
    <x:col min="5" max="5" width="72" hidden="0" customWidth="1"/>
    <x:col min="6" max="6" width="16" hidden="0" customWidth="1"/>
    <x:col min="7" max="7" width="12" hidden="0" customWidth="1"/>
    <x:col min="8" max="8" width="34" hidden="0" customWidth="1"/>
    <x:col min="9" max="9" width="16" hidden="0" customWidth="1"/>
    <x:col min="10" max="10" width="16" hidden="0" customWidth="1"/>
    <x:col min="11" max="11" width="24" hidden="0" customWidth="1"/>
    <x:col min="12" max="12" width="52" hidden="0" customWidth="1"/>
    <x:col min="13" max="13" width="16" hidden="0" customWidth="1"/>
    <x:col min="14" max="14" width="48" hidden="0" customWidth="1"/>
  </x:cols>
  <x:sheetData>
    <x:row r="1" ht="30" customHeight="1">
      <x:c r="A1" s="3" t="str">
        <x:v>影视伙伴政策数据确认表</x:v>
      </x:c>
      <x:c r="B1" s="3" t="str">
        <x:v>影视伙伴政策数据确认表</x:v>
      </x:c>
      <x:c r="C1" s="3" t="str">
        <x:v>影视伙伴政策数据确认表</x:v>
      </x:c>
      <x:c r="D1" s="3" t="str">
        <x:v>影视伙伴政策数据确认表</x:v>
      </x:c>
      <x:c r="E1" s="3" t="str">
        <x:v>影视伙伴政策数据确认表</x:v>
      </x:c>
      <x:c r="F1" s="3" t="str">
        <x:v>影视伙伴政策数据确认表</x:v>
      </x:c>
      <x:c r="G1" s="3" t="str">
        <x:v>影视伙伴政策数据确认表</x:v>
      </x:c>
      <x:c r="H1" s="3" t="str">
        <x:v>影视伙伴政策数据确认表</x:v>
      </x:c>
      <x:c r="I1" s="3" t="str">
        <x:v>影视伙伴政策数据确认表</x:v>
      </x:c>
      <x:c r="J1" s="3" t="str">
        <x:v>影视伙伴政策数据确认表</x:v>
      </x:c>
      <x:c r="K1" s="3" t="str">
        <x:v>影视伙伴政策数据确认表</x:v>
      </x:c>
      <x:c r="L1" s="3" t="str">
        <x:v>影视伙伴政策数据确认表</x:v>
      </x:c>
      <x:c r="M1" s="3" t="str">
        <x:v>影视伙伴政策数据确认表</x:v>
      </x:c>
      <x:c r="N1" s="3" t="str">
        <x:v>影视伙伴政策数据确认表</x:v>
      </x:c>
    </x:row>
    <x:row r="2" ht="28" customHeight="1">
      <x:c r="A2" s="7" t="str">
        <x:v>联调候选数据，未经完整人工复核，不构成法律意见。</x:v>
      </x:c>
      <x:c r="B2" s="7" t="str">
        <x:v>联调候选数据，未经完整人工复核，不构成法律意见。</x:v>
      </x:c>
      <x:c r="C2" s="7" t="str">
        <x:v>联调候选数据，未经完整人工复核，不构成法律意见。</x:v>
      </x:c>
      <x:c r="D2" s="7" t="str">
        <x:v>联调候选数据，未经完整人工复核，不构成法律意见。</x:v>
      </x:c>
      <x:c r="E2" s="7" t="str">
        <x:v>联调候选数据，未经完整人工复核，不构成法律意见。</x:v>
      </x:c>
      <x:c r="F2" s="7" t="str">
        <x:v>联调候选数据，未经完整人工复核，不构成法律意见。</x:v>
      </x:c>
      <x:c r="G2" s="7" t="str">
        <x:v>联调候选数据，未经完整人工复核，不构成法律意见。</x:v>
      </x:c>
      <x:c r="H2" s="7" t="str">
        <x:v>联调候选数据，未经完整人工复核，不构成法律意见。</x:v>
      </x:c>
      <x:c r="I2" s="7" t="str">
        <x:v>联调候选数据，未经完整人工复核，不构成法律意见。</x:v>
      </x:c>
      <x:c r="J2" s="7" t="str">
        <x:v>联调候选数据，未经完整人工复核，不构成法律意见。</x:v>
      </x:c>
      <x:c r="K2" s="7" t="str">
        <x:v>联调候选数据，未经完整人工复核，不构成法律意见。</x:v>
      </x:c>
      <x:c r="L2" s="7" t="str">
        <x:v>联调候选数据，未经完整人工复核，不构成法律意见。</x:v>
      </x:c>
      <x:c r="M2" s="7" t="str">
        <x:v>联调候选数据，未经完整人工复核，不构成法律意见。</x:v>
      </x:c>
      <x:c r="N2" s="7" t="str">
        <x:v>联调候选数据，未经完整人工复核，不构成法律意见。</x:v>
      </x:c>
    </x:row>
    <x:row r="4" ht="32" customHeight="1">
      <x:c r="A4" s="22" t="str">
        <x:v>优先级</x:v>
      </x:c>
      <x:c r="B4" s="22" t="str">
        <x:v>Pack</x:v>
      </x:c>
      <x:c r="C4" s="22" t="str">
        <x:v>条款ID</x:v>
      </x:c>
      <x:c r="D4" s="22" t="str">
        <x:v>标题</x:v>
      </x:c>
      <x:c r="E4" s="22" t="str">
        <x:v>当前候选原文</x:v>
      </x:c>
      <x:c r="F4" s="22" t="str">
        <x:v>effective_from</x:v>
      </x:c>
      <x:c r="G4" s="22" t="str">
        <x:v>确认状态</x:v>
      </x:c>
      <x:c r="H4" s="22" t="str">
        <x:v>建议修改值</x:v>
      </x:c>
      <x:c r="I4" s="22" t="str">
        <x:v>适用地区</x:v>
      </x:c>
      <x:c r="J4" s="22" t="str">
        <x:v>项目类型</x:v>
      </x:c>
      <x:c r="K4" s="22" t="str">
        <x:v>依据类型</x:v>
      </x:c>
      <x:c r="L4" s="22" t="str">
        <x:v>来源URL或附件名</x:v>
      </x:c>
      <x:c r="M4" s="22" t="str">
        <x:v>复核人</x:v>
      </x:c>
      <x:c r="N4" s="22" t="str">
        <x:v>备注与规则映射</x:v>
      </x:c>
    </x:row>
    <x:row r="5" ht="44" customHeight="1">
      <x:c r="A5" s="30" t="str">
        <x:v>P2</x:v>
      </x:c>
      <x:c r="B5" s="30" t="str">
        <x:v>p6_legal_clauses</x:v>
      </x:c>
      <x:c r="C5" s="30" t="str">
        <x:v>nrta-order-16-article-2</x:v>
      </x:c>
      <x:c r="D5" s="30" t="str">
        <x:v>第二条</x:v>
      </x:c>
      <x:c r="E5" s="30" t="str">
        <x:v>本办法所称微短剧，是指单集时长少于二十分钟，主题主线明确、故事情节连续完整、人物角色突出的剧集。</x:v>
      </x:c>
      <x:c r="F5" s="39" t="n">
        <x:v>46260</x:v>
      </x:c>
      <x:c r="G5" s="33" t="str">
        <x:v>待确认</x:v>
      </x:c>
      <x:c r="H5" s="33" t="str"/>
      <x:c r="I5" s="33" t="str">
        <x:v>中国境内</x:v>
      </x:c>
      <x:c r="J5" s="33" t="str">
        <x:v>微短剧</x:v>
      </x:c>
      <x:c r="K5" s="30" t="str">
        <x:v>政府文件候选</x:v>
      </x:c>
      <x:c r="L5" s="30" t="str">
        <x:v>https://www.nrta.gov.cn/art/2026/7/31/art_113_73785.html</x:v>
      </x:c>
      <x:c r="M5" s="33" t="str"/>
      <x:c r="N5" s="33" t="str">
        <x:v>请确认原文、链接有效性、适用范围、生效时间和规则映射</x:v>
      </x:c>
    </x:row>
    <x:row r="6" ht="44" customHeight="1">
      <x:c r="A6" s="31" t="str">
        <x:v>P2</x:v>
      </x:c>
      <x:c r="B6" s="31" t="str">
        <x:v>p6_legal_clauses</x:v>
      </x:c>
      <x:c r="C6" s="31" t="str">
        <x:v>nrta-order-16-article-5</x:v>
      </x:c>
      <x:c r="D6" s="31" t="str">
        <x:v>第五条</x:v>
      </x:c>
      <x:c r="E6" s="31" t="str">
        <x:v>特殊题材类别与较大投资额度的一类微短剧定义。</x:v>
      </x:c>
      <x:c r="F6" s="40" t="n">
        <x:v>46260</x:v>
      </x:c>
      <x:c r="G6" s="34" t="str">
        <x:v>待确认</x:v>
      </x:c>
      <x:c r="H6" s="34" t="str"/>
      <x:c r="I6" s="34" t="str">
        <x:v>中国境内</x:v>
      </x:c>
      <x:c r="J6" s="34" t="str">
        <x:v>微短剧</x:v>
      </x:c>
      <x:c r="K6" s="31" t="str">
        <x:v>政府文件候选</x:v>
      </x:c>
      <x:c r="L6" s="31" t="str">
        <x:v>https://www.nrta.gov.cn/art/2026/7/31/art_113_73785.html</x:v>
      </x:c>
      <x:c r="M6" s="34" t="str"/>
      <x:c r="N6" s="34" t="str">
        <x:v>请确认原文、链接有效性、适用范围、生效时间和规则映射</x:v>
      </x:c>
    </x:row>
    <x:row r="7" ht="44" customHeight="1">
      <x:c r="A7" s="31" t="str">
        <x:v>P2</x:v>
      </x:c>
      <x:c r="B7" s="31" t="str">
        <x:v>p6_legal_clauses</x:v>
      </x:c>
      <x:c r="C7" s="31" t="str">
        <x:v>tier-live-action-2026</x:v>
      </x:c>
      <x:c r="D7" s="31" t="str">
        <x:v>真人微短剧联调门槛候选</x:v>
      </x:c>
      <x:c r="E7" s="31" t="str">
        <x:v>联调值：T1 300万元，T2 100万元。</x:v>
      </x:c>
      <x:c r="F7" s="40" t="n">
        <x:v>46260</x:v>
      </x:c>
      <x:c r="G7" s="34" t="str">
        <x:v>待确认</x:v>
      </x:c>
      <x:c r="H7" s="34" t="str"/>
      <x:c r="I7" s="34" t="str">
        <x:v>中国境内</x:v>
      </x:c>
      <x:c r="J7" s="34" t="str">
        <x:v>微短剧</x:v>
      </x:c>
      <x:c r="K7" s="31" t="str">
        <x:v>政府办事信息候选</x:v>
      </x:c>
      <x:c r="L7" s="31" t="str">
        <x:v>https://whhlyj.baoji.gov.cn/zzzb/xygl/202601/t20260115_1240723.html</x:v>
      </x:c>
      <x:c r="M7" s="34" t="str"/>
      <x:c r="N7" s="34" t="str">
        <x:v>请确认原文、链接有效性、适用范围、生效时间和规则映射</x:v>
      </x:c>
    </x:row>
    <x:row r="8" ht="44" customHeight="1">
      <x:c r="A8" s="32" t="str">
        <x:v>P2</x:v>
      </x:c>
      <x:c r="B8" s="32" t="str">
        <x:v>p6_legal_clauses</x:v>
      </x:c>
      <x:c r="C8" s="32" t="str">
        <x:v>tier-ai-generated-2026</x:v>
      </x:c>
      <x:c r="D8" s="32" t="str">
        <x:v>AI微短剧联调门槛候选</x:v>
      </x:c>
      <x:c r="E8" s="32" t="str">
        <x:v>联调值：T1 80万元，T2 30万元。</x:v>
      </x:c>
      <x:c r="F8" s="41" t="n">
        <x:v>46260</x:v>
      </x:c>
      <x:c r="G8" s="35" t="str">
        <x:v>待确认</x:v>
      </x:c>
      <x:c r="H8" s="35" t="str"/>
      <x:c r="I8" s="35" t="str">
        <x:v>中国境内</x:v>
      </x:c>
      <x:c r="J8" s="35" t="str">
        <x:v>微短剧</x:v>
      </x:c>
      <x:c r="K8" s="32" t="str">
        <x:v>政府办事信息候选</x:v>
      </x:c>
      <x:c r="L8" s="32" t="str">
        <x:v>https://wxb.xzdw.gov.cn/wlcb/cbgz/202606/t20260626_680352.html</x:v>
      </x:c>
      <x:c r="M8" s="35" t="str"/>
      <x:c r="N8" s="35" t="str">
        <x:v>请确认原文、链接有效性、适用范围、生效时间和规则映射</x:v>
      </x:c>
    </x:row>
  </x:sheetData>
  <x:mergeCells>
    <x:mergeCell ref="A1:N1"/>
    <x:mergeCell ref="A2:N2"/>
  </x:mergeCells>
  <x:dataValidations count="1">
    <x:dataValidation type="list" sqref="G5:G8">
      <x:formula1>"待确认,已确认,需修改,无法确认"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2ff76002e8548c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32" hidden="0" customWidth="1"/>
    <x:col min="5" max="5" width="42" hidden="0" customWidth="1"/>
    <x:col min="6" max="6" width="24" hidden="0" customWidth="1"/>
  </x:cols>
  <x:sheetData>
    <x:row r="1" ht="30" customHeight="1">
      <x:c r="A1" s="3" t="str">
        <x:v>影视伙伴政策数据确认表</x:v>
      </x:c>
      <x:c r="B1" s="3" t="str">
        <x:v>影视伙伴政策数据确认表</x:v>
      </x:c>
      <x:c r="C1" s="3" t="str">
        <x:v>影视伙伴政策数据确认表</x:v>
      </x:c>
      <x:c r="D1" s="3" t="str">
        <x:v>影视伙伴政策数据确认表</x:v>
      </x:c>
      <x:c r="E1" s="3" t="str">
        <x:v>影视伙伴政策数据确认表</x:v>
      </x:c>
      <x:c r="F1" s="3" t="str">
        <x:v>影视伙伴政策数据确认表</x:v>
      </x:c>
    </x:row>
    <x:row r="2" ht="28" customHeight="1">
      <x:c r="A2" s="7" t="str">
        <x:v>联调候选数据，未经完整人工复核，不构成法律意见。</x:v>
      </x:c>
      <x:c r="B2" s="7" t="str">
        <x:v>联调候选数据，未经完整人工复核，不构成法律意见。</x:v>
      </x:c>
      <x:c r="C2" s="7" t="str">
        <x:v>联调候选数据，未经完整人工复核，不构成法律意见。</x:v>
      </x:c>
      <x:c r="D2" s="7" t="str">
        <x:v>联调候选数据，未经完整人工复核，不构成法律意见。</x:v>
      </x:c>
      <x:c r="E2" s="7" t="str">
        <x:v>联调候选数据，未经完整人工复核，不构成法律意见。</x:v>
      </x:c>
      <x:c r="F2" s="7" t="str">
        <x:v>联调候选数据，未经完整人工复核，不构成法律意见。</x:v>
      </x:c>
    </x:row>
    <x:row r="4">
      <x:c r="A4" s="10" t="str">
        <x:v>确认状态</x:v>
      </x:c>
      <x:c r="B4" s="10" t="str">
        <x:v>条目数</x:v>
      </x:c>
      <x:c r="C4" s="10" t="str">
        <x:v>占比</x:v>
      </x:c>
      <x:c r="D4" s="10" t="str">
        <x:v>含义</x:v>
      </x:c>
      <x:c r="E4" s="10" t="str">
        <x:v>下一步</x:v>
      </x:c>
      <x:c r="F4" s="10" t="str">
        <x:v>责任</x:v>
      </x:c>
    </x:row>
    <x:row r="5" ht="36" customHeight="1">
      <x:c r="A5" s="12" t="str">
        <x:v>待确认</x:v>
      </x:c>
      <x:c r="B5" s="12" t="n">
        <x:f>COUNTIF('规则确认_p1-p3'!$H$5:$H$16,A5)+COUNTIF('流程材料_p4-p5'!$J$5:$J$30,A5)+COUNTIF('条款来源_p6'!$G$5:$G$8,A5)</x:f>
        <x:v>42</x:v>
      </x:c>
      <x:c r="C5" s="42" t="n">
        <x:f>B5/$B$10</x:f>
        <x:v>1</x:v>
      </x:c>
      <x:c r="D5" s="12" t="str">
        <x:v>尚未完成人工判断</x:v>
      </x:c>
      <x:c r="E5" s="12" t="str">
        <x:v>分配复核人并补证据</x:v>
      </x:c>
      <x:c r="F5" s="12" t="str">
        <x:v>Richard / 影视伙伴</x:v>
      </x:c>
    </x:row>
    <x:row r="6" ht="36" customHeight="1">
      <x:c r="A6" s="12" t="str">
        <x:v>已确认</x:v>
      </x:c>
      <x:c r="B6" s="12" t="n">
        <x:f>COUNTIF('规则确认_p1-p3'!$H$5:$H$16,A6)+COUNTIF('流程材料_p4-p5'!$J$5:$J$30,A6)+COUNTIF('条款来源_p6'!$G$5:$G$8,A6)</x:f>
        <x:v>0</x:v>
      </x:c>
      <x:c r="C6" s="42" t="n">
        <x:f>B6/$B$10</x:f>
        <x:v>0</x:v>
      </x:c>
      <x:c r="D6" s="12" t="str">
        <x:v>候选值准确且有依据</x:v>
      </x:c>
      <x:c r="E6" s="12" t="str">
        <x:v>保留证据，等待整体验收</x:v>
      </x:c>
      <x:c r="F6" s="12" t="str">
        <x:v>影视伙伴</x:v>
      </x:c>
    </x:row>
    <x:row r="7" ht="36" customHeight="1">
      <x:c r="A7" s="12" t="str">
        <x:v>需修改</x:v>
      </x:c>
      <x:c r="B7" s="12" t="n">
        <x:f>COUNTIF('规则确认_p1-p3'!$H$5:$H$16,A7)+COUNTIF('流程材料_p4-p5'!$J$5:$J$30,A7)+COUNTIF('条款来源_p6'!$G$5:$G$8,A7)</x:f>
        <x:v>0</x:v>
      </x:c>
      <x:c r="C7" s="42" t="n">
        <x:f>B7/$B$10</x:f>
        <x:v>0</x:v>
      </x:c>
      <x:c r="D7" s="12" t="str">
        <x:v>候选值需要调整</x:v>
      </x:c>
      <x:c r="E7" s="12" t="str">
        <x:v>填写修改值、依据和生效时间</x:v>
      </x:c>
      <x:c r="F7" s="12" t="str">
        <x:v>影视伙伴</x:v>
      </x:c>
    </x:row>
    <x:row r="8" ht="36" customHeight="1">
      <x:c r="A8" s="12" t="str">
        <x:v>无法确认</x:v>
      </x:c>
      <x:c r="B8" s="12" t="n">
        <x:f>COUNTIF('规则确认_p1-p3'!$H$5:$H$16,A8)+COUNTIF('流程材料_p4-p5'!$J$5:$J$30,A8)+COUNTIF('条款来源_p6'!$G$5:$G$8,A8)</x:f>
        <x:v>0</x:v>
      </x:c>
      <x:c r="C8" s="42" t="n">
        <x:f>B8/$B$10</x:f>
        <x:v>0</x:v>
      </x:c>
      <x:c r="D8" s="12" t="str">
        <x:v>当前材料不足</x:v>
      </x:c>
      <x:c r="E8" s="12" t="str">
        <x:v>补充官方文件或升级复核人</x:v>
      </x:c>
      <x:c r="F8" s="12" t="str">
        <x:v>Richard / 影视伙伴</x:v>
      </x:c>
    </x:row>
    <x:row r="10">
      <x:c r="A10" s="45" t="str">
        <x:v>全部条目</x:v>
      </x:c>
      <x:c r="B10" s="45" t="n">
        <x:f>SUM(B5:B8)</x:f>
        <x:v>42</x:v>
      </x:c>
    </x:row>
    <x:row r="11">
      <x:c r="A11" s="45" t="str">
        <x:v>预期条目</x:v>
      </x:c>
      <x:c r="B11" s="45" t="n">
        <x:v>42</x:v>
      </x:c>
    </x:row>
    <x:row r="12">
      <x:c r="A12" s="45" t="str">
        <x:v>一致性检查</x:v>
      </x:c>
      <x:c r="B12" s="45" t="str">
        <x:f>IF(B10=B11,"通过","请检查")</x:f>
        <x:v>通过</x:v>
      </x:c>
    </x:row>
  </x:sheetData>
  <x:mergeCells>
    <x:mergeCell ref="A1:F1"/>
    <x:mergeCell ref="A2:F2"/>
  </x:mergeCells>
  <x:conditionalFormatting sqref="B12:B12">
    <x:cfRule type="containsText" dxfId="0" priority="1" operator="containsText" text="通过"/>
  </x:conditionalFormatting>
  <x:pageMargins left="0.7" right="0.7" top="0.75" bottom="0.75" header="0.3" footer="0.3"/>
</x:worksheet>
</file>